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arantsev\Desktop\"/>
    </mc:Choice>
  </mc:AlternateContent>
  <xr:revisionPtr revIDLastSave="0" documentId="13_ncr:1_{CA419CE4-5EA2-4559-B72F-B113376D2441}" xr6:coauthVersionLast="36" xr6:coauthVersionMax="47" xr10:uidLastSave="{00000000-0000-0000-0000-000000000000}"/>
  <bookViews>
    <workbookView xWindow="0" yWindow="0" windowWidth="38400" windowHeight="17505" activeTab="2" xr2:uid="{6D321AAF-CF23-4C27-84B2-AF34D2EE9782}"/>
  </bookViews>
  <sheets>
    <sheet name="zeros" sheetId="1" r:id="rId1"/>
    <sheet name="summary" sheetId="2" r:id="rId2"/>
    <sheet name="readme" sheetId="3" r:id="rId3"/>
  </sheet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2" i="2"/>
  <c r="N13" i="1" l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12" i="1"/>
  <c r="M5" i="1"/>
  <c r="M4" i="1"/>
  <c r="M3" i="1"/>
</calcChain>
</file>

<file path=xl/sharedStrings.xml><?xml version="1.0" encoding="utf-8"?>
<sst xmlns="http://schemas.openxmlformats.org/spreadsheetml/2006/main" count="57" uniqueCount="26">
  <si>
    <t>Date</t>
  </si>
  <si>
    <t>NA</t>
  </si>
  <si>
    <t>Long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</si>
  <si>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</si>
  <si>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</si>
  <si>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</si>
  <si>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</si>
  <si>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</si>
  <si>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</si>
  <si>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</si>
  <si>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</si>
  <si>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</si>
  <si>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</si>
  <si>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Target</t>
  </si>
  <si>
    <t>Benchmark</t>
  </si>
  <si>
    <t>Year</t>
  </si>
  <si>
    <t>We take zero-coupon data for maturities 1 to 10 years</t>
  </si>
  <si>
    <t>https://www.federalreserve.gov/econres/feds/the-us-treasury-yield-curve-1961-to-the-present.htm</t>
  </si>
  <si>
    <t>Continuously compounded zero-coupon rates</t>
  </si>
  <si>
    <t>end of year data 1961-2026</t>
  </si>
  <si>
    <t>Also, we take classic coupon 10-year Treasury yields</t>
  </si>
  <si>
    <t>copied from our main data library from 1927, December daily average</t>
  </si>
  <si>
    <t>And compare resulting returns of 10-year zero-coupon bonds</t>
  </si>
  <si>
    <t>True returns (target) and approximated returns (benchmark)</t>
  </si>
  <si>
    <t>We copies the last two columns from the sheet zeros to the sheet summary</t>
  </si>
  <si>
    <t>For convenience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</si>
</sst>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000000"/>
      <name val="Cambria"/>
      <family val="1"/>
      <charset val="204"/>
    </font>
    <font>
      <sz val="16"/>
      <color theme="1"/>
      <name val="Cambria"/>
      <family val="1"/>
      <charset val="204"/>
    </font>
    <font>
      <sz val="16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4214-971B-4E7D-BAC6-F0457A6E6D4C}">
  <dimension ref="A1:N233"/>
  <sheetViews>
    <sheetView topLeftCell="B2" workbookViewId="0">
      <selection activeCell="M12" sqref="M12"/>
    </sheetView>
  </sheetViews>
  <sheetFormatPr defaultColWidth="9.125" defaultRowHeight="20.25"/>
  <cols>
    <col min="1" max="1" width="20.625" style="2" customWidth="1"/>
    <col min="2" max="12" width="12.75" style="2" customWidth="1"/>
    <col min="13" max="13" width="13" style="4" bestFit="1" customWidth="1"/>
    <col min="14" max="14" width="13" style="4" customWidth="1"/>
    <col min="15" max="16384" width="9.125" style="2"/>
  </cols>
  <sheetData>
    <row r="1" spans="1:14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2</v>
      </c>
      <c r="M1" s="4" t="s">
        <v>13</v>
      </c>
      <c r="N1" s="4" t="s">
        <v>14</v>
      </c>
    </row>
    <row r="2" spans="1:14">
      <c r="A2" s="3">
        <v>22644</v>
      </c>
      <c r="B2" s="2">
        <v>3.1375000000000002</v>
      </c>
      <c r="C2" s="2">
        <v>3.4211999999999998</v>
      </c>
      <c r="D2" s="2">
        <v>3.6259000000000001</v>
      </c>
      <c r="E2" s="2">
        <v>3.7658</v>
      </c>
      <c r="F2" s="2">
        <v>3.8532000000000002</v>
      </c>
      <c r="G2" s="2">
        <v>3.8980999999999999</v>
      </c>
      <c r="H2" s="2">
        <v>3.9089</v>
      </c>
      <c r="I2" s="2" t="s">
        <v>1</v>
      </c>
      <c r="J2" s="2" t="s">
        <v>1</v>
      </c>
      <c r="K2" s="2" t="s">
        <v>1</v>
      </c>
      <c r="L2" s="1">
        <v>4.0599999999999996</v>
      </c>
    </row>
    <row r="3" spans="1:14">
      <c r="A3" s="3">
        <v>23011</v>
      </c>
      <c r="B3" s="2">
        <v>3.0188000000000001</v>
      </c>
      <c r="C3" s="2">
        <v>3.1749999999999998</v>
      </c>
      <c r="D3" s="2">
        <v>3.3106</v>
      </c>
      <c r="E3" s="2">
        <v>3.4283999999999999</v>
      </c>
      <c r="F3" s="2">
        <v>3.5312000000000001</v>
      </c>
      <c r="G3" s="2">
        <v>3.6212</v>
      </c>
      <c r="H3" s="2">
        <v>3.7000999999999999</v>
      </c>
      <c r="I3" s="2" t="s">
        <v>1</v>
      </c>
      <c r="J3" s="2" t="s">
        <v>1</v>
      </c>
      <c r="K3" s="2" t="s">
        <v>1</v>
      </c>
      <c r="L3" s="1">
        <v>3.86</v>
      </c>
      <c r="M3" s="4">
        <f>CORREL(J12:J66, L12:L66)</f>
        <v>0.99786495458999303</v>
      </c>
    </row>
    <row r="4" spans="1:14">
      <c r="A4" s="3">
        <v>23376</v>
      </c>
      <c r="B4" s="2">
        <v>3.6240000000000001</v>
      </c>
      <c r="C4" s="2">
        <v>3.8151000000000002</v>
      </c>
      <c r="D4" s="2">
        <v>3.9199000000000002</v>
      </c>
      <c r="E4" s="2">
        <v>3.9756999999999998</v>
      </c>
      <c r="F4" s="2">
        <v>4.0094000000000003</v>
      </c>
      <c r="G4" s="2">
        <v>4.0319000000000003</v>
      </c>
      <c r="H4" s="2">
        <v>4.0479000000000003</v>
      </c>
      <c r="I4" s="2" t="s">
        <v>1</v>
      </c>
      <c r="J4" s="2" t="s">
        <v>1</v>
      </c>
      <c r="K4" s="2" t="s">
        <v>1</v>
      </c>
      <c r="L4" s="1">
        <v>4.13</v>
      </c>
      <c r="M4" s="4">
        <f>CORREL(K12:K66, L12:L66)</f>
        <v>0.99736558589664415</v>
      </c>
    </row>
    <row r="5" spans="1:14">
      <c r="A5" s="3">
        <v>23742</v>
      </c>
      <c r="B5" s="2">
        <v>3.7492000000000001</v>
      </c>
      <c r="C5" s="2">
        <v>3.8940000000000001</v>
      </c>
      <c r="D5" s="2">
        <v>3.9882</v>
      </c>
      <c r="E5" s="2">
        <v>4.0389999999999997</v>
      </c>
      <c r="F5" s="2">
        <v>4.0697000000000001</v>
      </c>
      <c r="G5" s="2">
        <v>4.0902000000000003</v>
      </c>
      <c r="H5" s="2">
        <v>4.1048999999999998</v>
      </c>
      <c r="I5" s="2" t="s">
        <v>1</v>
      </c>
      <c r="J5" s="2" t="s">
        <v>1</v>
      </c>
      <c r="K5" s="2" t="s">
        <v>1</v>
      </c>
      <c r="L5" s="1">
        <v>4.18</v>
      </c>
      <c r="M5" s="4">
        <f>CORREL(M12:M65, N12:N65)</f>
        <v>0.97702632892696006</v>
      </c>
    </row>
    <row r="6" spans="1:14">
      <c r="A6" s="3">
        <v>24107</v>
      </c>
      <c r="B6" s="2">
        <v>4.7302999999999997</v>
      </c>
      <c r="C6" s="2">
        <v>4.7495000000000003</v>
      </c>
      <c r="D6" s="2">
        <v>4.7564000000000002</v>
      </c>
      <c r="E6" s="2">
        <v>4.7598000000000003</v>
      </c>
      <c r="F6" s="2">
        <v>4.7618</v>
      </c>
      <c r="G6" s="2">
        <v>4.7632000000000003</v>
      </c>
      <c r="H6" s="2">
        <v>4.7641999999999998</v>
      </c>
      <c r="I6" s="2" t="s">
        <v>1</v>
      </c>
      <c r="J6" s="2" t="s">
        <v>1</v>
      </c>
      <c r="K6" s="2" t="s">
        <v>1</v>
      </c>
      <c r="L6" s="1">
        <v>4.62</v>
      </c>
    </row>
    <row r="7" spans="1:14">
      <c r="A7" s="3">
        <v>24471</v>
      </c>
      <c r="B7" s="2">
        <v>4.7610000000000001</v>
      </c>
      <c r="C7" s="2">
        <v>4.7348999999999997</v>
      </c>
      <c r="D7" s="2">
        <v>4.7263000000000002</v>
      </c>
      <c r="E7" s="2">
        <v>4.7220000000000004</v>
      </c>
      <c r="F7" s="2">
        <v>4.7194000000000003</v>
      </c>
      <c r="G7" s="2">
        <v>4.7176999999999998</v>
      </c>
      <c r="H7" s="2">
        <v>4.7164999999999999</v>
      </c>
      <c r="I7" s="2" t="s">
        <v>1</v>
      </c>
      <c r="J7" s="2" t="s">
        <v>1</v>
      </c>
      <c r="K7" s="2" t="s">
        <v>1</v>
      </c>
      <c r="L7" s="1">
        <v>4.84</v>
      </c>
    </row>
    <row r="8" spans="1:14">
      <c r="A8" s="3">
        <v>24835</v>
      </c>
      <c r="B8" s="2">
        <v>5.5271999999999997</v>
      </c>
      <c r="C8" s="2">
        <v>5.5842999999999998</v>
      </c>
      <c r="D8" s="2">
        <v>5.6364000000000001</v>
      </c>
      <c r="E8" s="2">
        <v>5.6688999999999998</v>
      </c>
      <c r="F8" s="2">
        <v>5.6894999999999998</v>
      </c>
      <c r="G8" s="2">
        <v>5.7034000000000002</v>
      </c>
      <c r="H8" s="2">
        <v>5.7134</v>
      </c>
      <c r="I8" s="2" t="s">
        <v>1</v>
      </c>
      <c r="J8" s="2" t="s">
        <v>1</v>
      </c>
      <c r="K8" s="2" t="s">
        <v>1</v>
      </c>
      <c r="L8" s="1">
        <v>5.7</v>
      </c>
    </row>
    <row r="9" spans="1:14">
      <c r="A9" s="3">
        <v>25203</v>
      </c>
      <c r="B9" s="2">
        <v>5.9695999999999998</v>
      </c>
      <c r="C9" s="2">
        <v>6.0366</v>
      </c>
      <c r="D9" s="2">
        <v>6.0910000000000002</v>
      </c>
      <c r="E9" s="2">
        <v>6.1189999999999998</v>
      </c>
      <c r="F9" s="2">
        <v>6.1359000000000004</v>
      </c>
      <c r="G9" s="2">
        <v>6.1471</v>
      </c>
      <c r="H9" s="2">
        <v>6.1551</v>
      </c>
      <c r="I9" s="2" t="s">
        <v>1</v>
      </c>
      <c r="J9" s="2" t="s">
        <v>1</v>
      </c>
      <c r="K9" s="2" t="s">
        <v>1</v>
      </c>
      <c r="L9" s="1">
        <v>6.03</v>
      </c>
    </row>
    <row r="10" spans="1:14">
      <c r="A10" s="3">
        <v>25568</v>
      </c>
      <c r="B10" s="2">
        <v>8.2035999999999998</v>
      </c>
      <c r="C10" s="2">
        <v>8.1143999999999998</v>
      </c>
      <c r="D10" s="2">
        <v>8.0089000000000006</v>
      </c>
      <c r="E10" s="2">
        <v>7.8901000000000003</v>
      </c>
      <c r="F10" s="2">
        <v>7.7605000000000004</v>
      </c>
      <c r="G10" s="2">
        <v>7.6224999999999996</v>
      </c>
      <c r="H10" s="2">
        <v>7.4778000000000002</v>
      </c>
      <c r="I10" s="2" t="s">
        <v>1</v>
      </c>
      <c r="J10" s="2" t="s">
        <v>1</v>
      </c>
      <c r="K10" s="2" t="s">
        <v>1</v>
      </c>
      <c r="L10" s="1">
        <v>7.65</v>
      </c>
    </row>
    <row r="11" spans="1:14">
      <c r="A11" s="3">
        <v>25933</v>
      </c>
      <c r="B11" s="2">
        <v>4.9984000000000002</v>
      </c>
      <c r="C11" s="2">
        <v>5.4911000000000003</v>
      </c>
      <c r="D11" s="2">
        <v>5.7568999999999999</v>
      </c>
      <c r="E11" s="2">
        <v>5.9134000000000002</v>
      </c>
      <c r="F11" s="2">
        <v>6.0130999999999997</v>
      </c>
      <c r="G11" s="2">
        <v>6.0811000000000002</v>
      </c>
      <c r="H11" s="2">
        <v>6.13</v>
      </c>
      <c r="I11" s="2" t="s">
        <v>1</v>
      </c>
      <c r="J11" s="2" t="s">
        <v>1</v>
      </c>
      <c r="K11" s="2" t="s">
        <v>1</v>
      </c>
      <c r="L11" s="1">
        <v>6.39</v>
      </c>
    </row>
    <row r="12" spans="1:14">
      <c r="A12" s="3">
        <v>26298</v>
      </c>
      <c r="B12" s="2">
        <v>4.3541999999999996</v>
      </c>
      <c r="C12" s="2">
        <v>4.7911999999999999</v>
      </c>
      <c r="D12" s="2">
        <v>5.1086999999999998</v>
      </c>
      <c r="E12" s="2">
        <v>5.3433999999999999</v>
      </c>
      <c r="F12" s="2">
        <v>5.52</v>
      </c>
      <c r="G12" s="2">
        <v>5.6554000000000002</v>
      </c>
      <c r="H12" s="2">
        <v>5.7610000000000001</v>
      </c>
      <c r="I12" s="2">
        <v>5.8448000000000002</v>
      </c>
      <c r="J12" s="2">
        <v>5.9123000000000001</v>
      </c>
      <c r="K12" s="2">
        <v>5.9676999999999998</v>
      </c>
      <c r="L12" s="1">
        <v>5.93</v>
      </c>
      <c r="M12" s="4">
        <f xml:space="preserve"> (10 * K12 - 9 * J13) * 0.01</f>
        <v>3.2901999999999987E-2</v>
      </c>
      <c r="N12" s="4">
        <f xml:space="preserve"> (10 * L12 - 9 * L13) * 0.01</f>
        <v>2.0599999999999952E-2</v>
      </c>
    </row>
    <row r="13" spans="1:14">
      <c r="A13" s="3">
        <v>26662</v>
      </c>
      <c r="B13" s="2">
        <v>5.657</v>
      </c>
      <c r="C13" s="2">
        <v>5.9203999999999999</v>
      </c>
      <c r="D13" s="2">
        <v>6.0547000000000004</v>
      </c>
      <c r="E13" s="2">
        <v>6.1311</v>
      </c>
      <c r="F13" s="2">
        <v>6.1787999999999998</v>
      </c>
      <c r="G13" s="2">
        <v>6.2111000000000001</v>
      </c>
      <c r="H13" s="2">
        <v>6.2343000000000002</v>
      </c>
      <c r="I13" s="2">
        <v>6.2516999999999996</v>
      </c>
      <c r="J13" s="2">
        <v>6.2652000000000001</v>
      </c>
      <c r="K13" s="2">
        <v>6.2759999999999998</v>
      </c>
      <c r="L13" s="1">
        <v>6.36</v>
      </c>
      <c r="M13" s="4">
        <f t="shared" ref="M13:M65" si="0" xml:space="preserve"> (10 * K13 - 9 * J14) * 0.01</f>
        <v>2.1972000000000023E-2</v>
      </c>
      <c r="N13" s="4">
        <f t="shared" ref="N13:N65" si="1" xml:space="preserve"> (10 * L13 - 9 * L14) * 0.01</f>
        <v>2.9399999999999978E-2</v>
      </c>
    </row>
    <row r="14" spans="1:14">
      <c r="A14" s="3">
        <v>27029</v>
      </c>
      <c r="B14" s="2">
        <v>7.2023999999999999</v>
      </c>
      <c r="C14" s="2">
        <v>6.7885</v>
      </c>
      <c r="D14" s="2">
        <v>6.6782000000000004</v>
      </c>
      <c r="E14" s="2">
        <v>6.6631999999999998</v>
      </c>
      <c r="F14" s="2">
        <v>6.6746999999999996</v>
      </c>
      <c r="G14" s="2">
        <v>6.6910999999999996</v>
      </c>
      <c r="H14" s="2">
        <v>6.7061999999999999</v>
      </c>
      <c r="I14" s="2">
        <v>6.7188999999999997</v>
      </c>
      <c r="J14" s="2">
        <v>6.7291999999999996</v>
      </c>
      <c r="K14" s="2">
        <v>6.7377000000000002</v>
      </c>
      <c r="L14" s="1">
        <v>6.74</v>
      </c>
      <c r="M14" s="4">
        <f t="shared" si="0"/>
        <v>2.9235000000000042E-2</v>
      </c>
      <c r="N14" s="4">
        <f t="shared" si="1"/>
        <v>5.3000000000000113E-3</v>
      </c>
    </row>
    <row r="15" spans="1:14">
      <c r="A15" s="3">
        <v>27394</v>
      </c>
      <c r="B15" s="2">
        <v>7.1447000000000003</v>
      </c>
      <c r="C15" s="2">
        <v>7.1538000000000004</v>
      </c>
      <c r="D15" s="2">
        <v>7.1570999999999998</v>
      </c>
      <c r="E15" s="2">
        <v>7.1586999999999996</v>
      </c>
      <c r="F15" s="2">
        <v>7.1597</v>
      </c>
      <c r="G15" s="2">
        <v>7.1604000000000001</v>
      </c>
      <c r="H15" s="2">
        <v>7.1608000000000001</v>
      </c>
      <c r="I15" s="2">
        <v>7.1612</v>
      </c>
      <c r="J15" s="2">
        <v>7.1615000000000002</v>
      </c>
      <c r="K15" s="2">
        <v>7.1616999999999997</v>
      </c>
      <c r="L15" s="1">
        <v>7.43</v>
      </c>
      <c r="M15" s="4">
        <f t="shared" si="0"/>
        <v>3.0765999999999991E-2</v>
      </c>
      <c r="N15" s="4">
        <f t="shared" si="1"/>
        <v>2.2999999999999972E-2</v>
      </c>
    </row>
    <row r="16" spans="1:14">
      <c r="A16" s="3">
        <v>27759</v>
      </c>
      <c r="B16" s="2">
        <v>6.1325000000000003</v>
      </c>
      <c r="C16" s="2">
        <v>6.6943999999999999</v>
      </c>
      <c r="D16" s="2">
        <v>7.0259999999999998</v>
      </c>
      <c r="E16" s="2">
        <v>7.2313999999999998</v>
      </c>
      <c r="F16" s="2">
        <v>7.3657000000000004</v>
      </c>
      <c r="G16" s="2">
        <v>7.4584000000000001</v>
      </c>
      <c r="H16" s="2">
        <v>7.5255000000000001</v>
      </c>
      <c r="I16" s="2">
        <v>7.5762</v>
      </c>
      <c r="J16" s="2">
        <v>7.6155999999999997</v>
      </c>
      <c r="K16" s="2">
        <v>7.6471999999999998</v>
      </c>
      <c r="L16" s="1">
        <v>8</v>
      </c>
      <c r="M16" s="4">
        <f t="shared" si="0"/>
        <v>0.16465399999999997</v>
      </c>
      <c r="N16" s="4">
        <f t="shared" si="1"/>
        <v>0.18170000000000003</v>
      </c>
    </row>
    <row r="17" spans="1:14">
      <c r="A17" s="3">
        <v>28125</v>
      </c>
      <c r="B17" s="2">
        <v>4.9313000000000002</v>
      </c>
      <c r="C17" s="2">
        <v>5.3606999999999996</v>
      </c>
      <c r="D17" s="2">
        <v>5.7077</v>
      </c>
      <c r="E17" s="2">
        <v>5.9797000000000002</v>
      </c>
      <c r="F17" s="2">
        <v>6.1906999999999996</v>
      </c>
      <c r="G17" s="2">
        <v>6.3548</v>
      </c>
      <c r="H17" s="2">
        <v>6.4832999999999998</v>
      </c>
      <c r="I17" s="2">
        <v>6.5853000000000002</v>
      </c>
      <c r="J17" s="2">
        <v>6.6673999999999998</v>
      </c>
      <c r="K17" s="2">
        <v>6.7343999999999999</v>
      </c>
      <c r="L17" s="1">
        <v>6.87</v>
      </c>
      <c r="M17" s="4">
        <f t="shared" si="0"/>
        <v>-1.57350000000001E-2</v>
      </c>
      <c r="N17" s="4">
        <f t="shared" si="1"/>
        <v>-5.1000000000000515E-3</v>
      </c>
    </row>
    <row r="18" spans="1:14">
      <c r="A18" s="3">
        <v>28489</v>
      </c>
      <c r="B18" s="2">
        <v>6.8872999999999998</v>
      </c>
      <c r="C18" s="2">
        <v>7.1044</v>
      </c>
      <c r="D18" s="2">
        <v>7.2615999999999996</v>
      </c>
      <c r="E18" s="2">
        <v>7.3776000000000002</v>
      </c>
      <c r="F18" s="2">
        <v>7.4646999999999997</v>
      </c>
      <c r="G18" s="2">
        <v>7.5313999999999997</v>
      </c>
      <c r="H18" s="2">
        <v>7.5833000000000004</v>
      </c>
      <c r="I18" s="2">
        <v>7.6243999999999996</v>
      </c>
      <c r="J18" s="2">
        <v>7.6574999999999998</v>
      </c>
      <c r="K18" s="2">
        <v>7.6847000000000003</v>
      </c>
      <c r="L18" s="1">
        <v>7.69</v>
      </c>
      <c r="M18" s="4">
        <f t="shared" si="0"/>
        <v>-2.5716999999999785E-2</v>
      </c>
      <c r="N18" s="4">
        <f t="shared" si="1"/>
        <v>-4.1899999999999979E-2</v>
      </c>
    </row>
    <row r="19" spans="1:14">
      <c r="A19" s="3">
        <v>28853</v>
      </c>
      <c r="B19" s="2">
        <v>10.2781</v>
      </c>
      <c r="C19" s="2">
        <v>9.7660999999999998</v>
      </c>
      <c r="D19" s="2">
        <v>9.4085000000000001</v>
      </c>
      <c r="E19" s="2">
        <v>9.1959</v>
      </c>
      <c r="F19" s="2">
        <v>9.0630000000000006</v>
      </c>
      <c r="G19" s="2">
        <v>8.9735999999999994</v>
      </c>
      <c r="H19" s="2">
        <v>8.9095999999999993</v>
      </c>
      <c r="I19" s="2">
        <v>8.8615999999999993</v>
      </c>
      <c r="J19" s="2">
        <v>8.8242999999999991</v>
      </c>
      <c r="K19" s="2">
        <v>8.7943999999999996</v>
      </c>
      <c r="L19" s="1">
        <v>9.01</v>
      </c>
      <c r="M19" s="4">
        <f t="shared" si="0"/>
        <v>-1.4926000000000102E-2</v>
      </c>
      <c r="N19" s="4">
        <f t="shared" si="1"/>
        <v>-3.4100000000000109E-2</v>
      </c>
    </row>
    <row r="20" spans="1:14">
      <c r="A20" s="3">
        <v>29220</v>
      </c>
      <c r="B20" s="2">
        <v>11.4596</v>
      </c>
      <c r="C20" s="2">
        <v>10.7371</v>
      </c>
      <c r="D20" s="2">
        <v>10.320499999999999</v>
      </c>
      <c r="E20" s="2">
        <v>10.090400000000001</v>
      </c>
      <c r="F20" s="2">
        <v>9.9726999999999997</v>
      </c>
      <c r="G20" s="2">
        <v>9.9215</v>
      </c>
      <c r="H20" s="2">
        <v>9.9087999999999994</v>
      </c>
      <c r="I20" s="2">
        <v>9.9175000000000004</v>
      </c>
      <c r="J20" s="2">
        <v>9.9374000000000002</v>
      </c>
      <c r="K20" s="2">
        <v>9.9624000000000006</v>
      </c>
      <c r="L20" s="1">
        <v>10.39</v>
      </c>
      <c r="M20" s="4">
        <f t="shared" si="0"/>
        <v>-7.1294999999999928E-2</v>
      </c>
      <c r="N20" s="4">
        <f t="shared" si="1"/>
        <v>-0.11659999999999997</v>
      </c>
    </row>
    <row r="21" spans="1:14">
      <c r="A21" s="3">
        <v>29586</v>
      </c>
      <c r="B21" s="2">
        <v>13.056800000000001</v>
      </c>
      <c r="C21" s="2">
        <v>12.2879</v>
      </c>
      <c r="D21" s="2">
        <v>12.117900000000001</v>
      </c>
      <c r="E21" s="2">
        <v>12.049799999999999</v>
      </c>
      <c r="F21" s="2">
        <v>11.998200000000001</v>
      </c>
      <c r="G21" s="2">
        <v>11.953799999999999</v>
      </c>
      <c r="H21" s="2">
        <v>11.916499999999999</v>
      </c>
      <c r="I21" s="2">
        <v>11.886100000000001</v>
      </c>
      <c r="J21" s="2">
        <v>11.861499999999999</v>
      </c>
      <c r="K21" s="2">
        <v>11.8414</v>
      </c>
      <c r="L21" s="1">
        <v>12.84</v>
      </c>
      <c r="M21" s="4">
        <f t="shared" si="0"/>
        <v>-3.1624999999999945E-2</v>
      </c>
      <c r="N21" s="4">
        <f t="shared" si="1"/>
        <v>4.9200000000000021E-2</v>
      </c>
    </row>
    <row r="22" spans="1:14">
      <c r="A22" s="3">
        <v>29951</v>
      </c>
      <c r="B22" s="2">
        <v>13.2576</v>
      </c>
      <c r="C22" s="2">
        <v>13.445</v>
      </c>
      <c r="D22" s="2">
        <v>13.4536</v>
      </c>
      <c r="E22" s="2">
        <v>13.4627</v>
      </c>
      <c r="F22" s="2">
        <v>13.475199999999999</v>
      </c>
      <c r="G22" s="2">
        <v>13.486599999999999</v>
      </c>
      <c r="H22" s="2">
        <v>13.495699999999999</v>
      </c>
      <c r="I22" s="2">
        <v>13.502800000000001</v>
      </c>
      <c r="J22" s="2">
        <v>13.5085</v>
      </c>
      <c r="K22" s="2">
        <v>13.513</v>
      </c>
      <c r="L22" s="1">
        <v>13.72</v>
      </c>
      <c r="M22" s="4">
        <f t="shared" si="0"/>
        <v>0.40761399999999998</v>
      </c>
      <c r="N22" s="4">
        <f t="shared" si="1"/>
        <v>0.42340000000000033</v>
      </c>
    </row>
    <row r="23" spans="1:14">
      <c r="A23" s="3">
        <v>30316</v>
      </c>
      <c r="B23" s="2">
        <v>8.8378999999999994</v>
      </c>
      <c r="C23" s="2">
        <v>9.4221000000000004</v>
      </c>
      <c r="D23" s="2">
        <v>9.8298000000000005</v>
      </c>
      <c r="E23" s="2">
        <v>10.1044</v>
      </c>
      <c r="F23" s="2">
        <v>10.2811</v>
      </c>
      <c r="G23" s="2">
        <v>10.387700000000001</v>
      </c>
      <c r="H23" s="2">
        <v>10.446300000000001</v>
      </c>
      <c r="I23" s="2">
        <v>10.474399999999999</v>
      </c>
      <c r="J23" s="2">
        <v>10.4854</v>
      </c>
      <c r="K23" s="2">
        <v>10.489599999999999</v>
      </c>
      <c r="L23" s="1">
        <v>10.54</v>
      </c>
      <c r="M23" s="4">
        <f t="shared" si="0"/>
        <v>3.3759999999999481E-3</v>
      </c>
      <c r="N23" s="4">
        <f t="shared" si="1"/>
        <v>-1.0700000000000074E-2</v>
      </c>
    </row>
    <row r="24" spans="1:14">
      <c r="A24" s="3">
        <v>30680</v>
      </c>
      <c r="B24" s="2">
        <v>9.9520999999999997</v>
      </c>
      <c r="C24" s="2">
        <v>10.5502</v>
      </c>
      <c r="D24" s="2">
        <v>10.9368</v>
      </c>
      <c r="E24" s="2">
        <v>11.186999999999999</v>
      </c>
      <c r="F24" s="2">
        <v>11.350099999999999</v>
      </c>
      <c r="G24" s="2">
        <v>11.458</v>
      </c>
      <c r="H24" s="2">
        <v>11.530900000000001</v>
      </c>
      <c r="I24" s="2">
        <v>11.5815</v>
      </c>
      <c r="J24" s="2">
        <v>11.617599999999999</v>
      </c>
      <c r="K24" s="2">
        <v>11.644399999999999</v>
      </c>
      <c r="L24" s="1">
        <v>11.83</v>
      </c>
      <c r="M24" s="4">
        <f t="shared" si="0"/>
        <v>0.13510999999999995</v>
      </c>
      <c r="N24" s="4">
        <f t="shared" si="1"/>
        <v>0.14799999999999996</v>
      </c>
    </row>
    <row r="25" spans="1:14">
      <c r="A25" s="3">
        <v>31047</v>
      </c>
      <c r="B25" s="2">
        <v>9.1143000000000001</v>
      </c>
      <c r="C25" s="2">
        <v>9.9548000000000005</v>
      </c>
      <c r="D25" s="2">
        <v>10.488099999999999</v>
      </c>
      <c r="E25" s="2">
        <v>10.831200000000001</v>
      </c>
      <c r="F25" s="2">
        <v>11.055999999999999</v>
      </c>
      <c r="G25" s="2">
        <v>11.2066</v>
      </c>
      <c r="H25" s="2">
        <v>11.3101</v>
      </c>
      <c r="I25" s="2">
        <v>11.3834</v>
      </c>
      <c r="J25" s="2">
        <v>11.436999999999999</v>
      </c>
      <c r="K25" s="2">
        <v>11.477399999999999</v>
      </c>
      <c r="L25" s="1">
        <v>11.5</v>
      </c>
      <c r="M25" s="4">
        <f t="shared" si="0"/>
        <v>0.33028799999999991</v>
      </c>
      <c r="N25" s="4">
        <f t="shared" si="1"/>
        <v>0.31659999999999999</v>
      </c>
    </row>
    <row r="26" spans="1:14">
      <c r="A26" s="3">
        <v>31412</v>
      </c>
      <c r="B26" s="2">
        <v>7.6074000000000002</v>
      </c>
      <c r="C26" s="2">
        <v>7.9363000000000001</v>
      </c>
      <c r="D26" s="2">
        <v>8.1951000000000001</v>
      </c>
      <c r="E26" s="2">
        <v>8.4044000000000008</v>
      </c>
      <c r="F26" s="2">
        <v>8.5787999999999993</v>
      </c>
      <c r="G26" s="2">
        <v>8.7279999999999998</v>
      </c>
      <c r="H26" s="2">
        <v>8.859</v>
      </c>
      <c r="I26" s="2">
        <v>8.9762000000000004</v>
      </c>
      <c r="J26" s="2">
        <v>9.0828000000000007</v>
      </c>
      <c r="K26" s="2">
        <v>9.1809999999999992</v>
      </c>
      <c r="L26" s="1">
        <v>9.26</v>
      </c>
      <c r="M26" s="4">
        <f t="shared" si="0"/>
        <v>0.24701499999999982</v>
      </c>
      <c r="N26" s="4">
        <f t="shared" si="1"/>
        <v>0.28609999999999991</v>
      </c>
    </row>
    <row r="27" spans="1:14">
      <c r="A27" s="3">
        <v>31777</v>
      </c>
      <c r="B27" s="2">
        <v>6.1154999999999999</v>
      </c>
      <c r="C27" s="2">
        <v>6.3613</v>
      </c>
      <c r="D27" s="2">
        <v>6.5621999999999998</v>
      </c>
      <c r="E27" s="2">
        <v>6.7420999999999998</v>
      </c>
      <c r="F27" s="2">
        <v>6.9088000000000003</v>
      </c>
      <c r="G27" s="2">
        <v>7.0639000000000003</v>
      </c>
      <c r="H27" s="2">
        <v>7.2072000000000003</v>
      </c>
      <c r="I27" s="2">
        <v>7.3380999999999998</v>
      </c>
      <c r="J27" s="2">
        <v>7.4565000000000001</v>
      </c>
      <c r="K27" s="2">
        <v>7.5628000000000002</v>
      </c>
      <c r="L27" s="1">
        <v>7.11</v>
      </c>
      <c r="M27" s="4">
        <f t="shared" si="0"/>
        <v>-4.2689785265990141E-2</v>
      </c>
      <c r="N27" s="4">
        <f t="shared" si="1"/>
        <v>-9.8099999999999882E-2</v>
      </c>
    </row>
    <row r="28" spans="1:14">
      <c r="A28" s="3">
        <v>32142</v>
      </c>
      <c r="B28" s="2">
        <v>7.2327902784439999</v>
      </c>
      <c r="C28" s="2">
        <v>7.6822449899959997</v>
      </c>
      <c r="D28" s="2">
        <v>7.9453962769380002</v>
      </c>
      <c r="E28" s="2">
        <v>8.171430455406</v>
      </c>
      <c r="F28" s="2">
        <v>8.3680123525940004</v>
      </c>
      <c r="G28" s="2">
        <v>8.5349659733909995</v>
      </c>
      <c r="H28" s="2">
        <v>8.6738046538169993</v>
      </c>
      <c r="I28" s="2">
        <v>8.7870354650000007</v>
      </c>
      <c r="J28" s="2">
        <v>8.8774420585110008</v>
      </c>
      <c r="K28" s="2">
        <v>8.9477567196710002</v>
      </c>
      <c r="L28" s="1">
        <v>8.99</v>
      </c>
      <c r="M28" s="4">
        <f t="shared" si="0"/>
        <v>8.3190382887379857E-2</v>
      </c>
      <c r="N28" s="4">
        <f t="shared" si="1"/>
        <v>7.9100000000000115E-2</v>
      </c>
    </row>
    <row r="29" spans="1:14">
      <c r="A29" s="3">
        <v>32507</v>
      </c>
      <c r="B29" s="2">
        <v>8.9648137367860006</v>
      </c>
      <c r="C29" s="2">
        <v>8.9717929224089996</v>
      </c>
      <c r="D29" s="2">
        <v>8.9670772072130003</v>
      </c>
      <c r="E29" s="2">
        <v>8.9842041842530005</v>
      </c>
      <c r="F29" s="2">
        <v>9.0036869025210002</v>
      </c>
      <c r="G29" s="2">
        <v>9.0176860859470001</v>
      </c>
      <c r="H29" s="2">
        <v>9.0243458554929994</v>
      </c>
      <c r="I29" s="2">
        <v>9.0239827904450003</v>
      </c>
      <c r="J29" s="2">
        <v>9.0176143231080008</v>
      </c>
      <c r="K29" s="2">
        <v>9.0064040270030006</v>
      </c>
      <c r="L29" s="1">
        <v>9.11</v>
      </c>
      <c r="M29" s="4">
        <f t="shared" si="0"/>
        <v>0.18943865445716002</v>
      </c>
      <c r="N29" s="4">
        <f t="shared" si="1"/>
        <v>0.20539999999999992</v>
      </c>
    </row>
    <row r="30" spans="1:14">
      <c r="A30" s="3">
        <v>32871</v>
      </c>
      <c r="B30" s="2">
        <v>7.8238548522210003</v>
      </c>
      <c r="C30" s="2">
        <v>7.768380069879</v>
      </c>
      <c r="D30" s="2">
        <v>7.7751010158379996</v>
      </c>
      <c r="E30" s="2">
        <v>7.8012562089259996</v>
      </c>
      <c r="F30" s="2">
        <v>7.8298563797379996</v>
      </c>
      <c r="G30" s="2">
        <v>7.8549592888830002</v>
      </c>
      <c r="H30" s="2">
        <v>7.8751364908420003</v>
      </c>
      <c r="I30" s="2">
        <v>7.8906436181829998</v>
      </c>
      <c r="J30" s="2">
        <v>7.902241647146</v>
      </c>
      <c r="K30" s="2">
        <v>7.9107389278970004</v>
      </c>
      <c r="L30" s="1">
        <v>7.84</v>
      </c>
      <c r="M30" s="4">
        <f t="shared" si="0"/>
        <v>5.7996206564990022E-2</v>
      </c>
      <c r="N30" s="4">
        <f t="shared" si="1"/>
        <v>5.6800000000000073E-2</v>
      </c>
    </row>
    <row r="31" spans="1:14">
      <c r="A31" s="3">
        <v>33238</v>
      </c>
      <c r="B31" s="2">
        <v>6.9164274434320001</v>
      </c>
      <c r="C31" s="2">
        <v>7.1466890223909996</v>
      </c>
      <c r="D31" s="2">
        <v>7.3514820723860002</v>
      </c>
      <c r="E31" s="2">
        <v>7.5327527679679998</v>
      </c>
      <c r="F31" s="2">
        <v>7.692310361713</v>
      </c>
      <c r="G31" s="2">
        <v>7.831836510794</v>
      </c>
      <c r="H31" s="2">
        <v>7.9528939788109998</v>
      </c>
      <c r="I31" s="2">
        <v>8.0569347543190002</v>
      </c>
      <c r="J31" s="2">
        <v>8.1453076247190008</v>
      </c>
      <c r="K31" s="2">
        <v>8.2192652416970002</v>
      </c>
      <c r="L31" s="1">
        <v>8.08</v>
      </c>
      <c r="M31" s="4">
        <f t="shared" si="0"/>
        <v>0.19295278178948003</v>
      </c>
      <c r="N31" s="4">
        <f t="shared" si="1"/>
        <v>0.16989999999999994</v>
      </c>
    </row>
    <row r="32" spans="1:14">
      <c r="A32" s="3">
        <v>33603</v>
      </c>
      <c r="B32" s="2">
        <v>4.2323027788959999</v>
      </c>
      <c r="C32" s="2">
        <v>4.8144263093199999</v>
      </c>
      <c r="D32" s="2">
        <v>5.3088714186840003</v>
      </c>
      <c r="E32" s="2">
        <v>5.7269629943920002</v>
      </c>
      <c r="F32" s="2">
        <v>6.0787913128720001</v>
      </c>
      <c r="G32" s="2">
        <v>6.3733342268030002</v>
      </c>
      <c r="H32" s="2">
        <v>6.6185679365389998</v>
      </c>
      <c r="I32" s="2">
        <v>6.821567374092</v>
      </c>
      <c r="J32" s="2">
        <v>6.988597137558</v>
      </c>
      <c r="K32" s="2">
        <v>7.1251938313550003</v>
      </c>
      <c r="L32" s="1">
        <v>7.09</v>
      </c>
      <c r="M32" s="4">
        <f t="shared" si="0"/>
        <v>8.4474265135490043E-2</v>
      </c>
      <c r="N32" s="4">
        <f t="shared" si="1"/>
        <v>9.9700000000000136E-2</v>
      </c>
    </row>
    <row r="33" spans="1:14">
      <c r="A33" s="3">
        <v>33968</v>
      </c>
      <c r="B33" s="2">
        <v>3.730429843394</v>
      </c>
      <c r="C33" s="2">
        <v>4.505208267065</v>
      </c>
      <c r="D33" s="2">
        <v>5.1803979942930001</v>
      </c>
      <c r="E33" s="2">
        <v>5.7106886175540001</v>
      </c>
      <c r="F33" s="2">
        <v>6.1136878583329999</v>
      </c>
      <c r="G33" s="2">
        <v>6.4188854500349999</v>
      </c>
      <c r="H33" s="2">
        <v>6.6524331251059996</v>
      </c>
      <c r="I33" s="2">
        <v>6.834166043193</v>
      </c>
      <c r="J33" s="2">
        <v>6.9782790888889998</v>
      </c>
      <c r="K33" s="2">
        <v>7.09472937478</v>
      </c>
      <c r="L33" s="1">
        <v>6.77</v>
      </c>
      <c r="M33" s="4">
        <f t="shared" si="0"/>
        <v>0.17436653089330009</v>
      </c>
      <c r="N33" s="4">
        <f t="shared" si="1"/>
        <v>0.15769999999999995</v>
      </c>
    </row>
    <row r="34" spans="1:14">
      <c r="A34" s="3">
        <v>34334</v>
      </c>
      <c r="B34" s="2">
        <v>3.6833660755739999</v>
      </c>
      <c r="C34" s="2">
        <v>4.2070512271530003</v>
      </c>
      <c r="D34" s="2">
        <v>4.612443986623</v>
      </c>
      <c r="E34" s="2">
        <v>4.938516399219</v>
      </c>
      <c r="F34" s="2">
        <v>5.2083748328919999</v>
      </c>
      <c r="G34" s="2">
        <v>5.4362018519740003</v>
      </c>
      <c r="H34" s="2">
        <v>5.6311375171910001</v>
      </c>
      <c r="I34" s="2">
        <v>5.7994312199089997</v>
      </c>
      <c r="J34" s="2">
        <v>5.9456267398299998</v>
      </c>
      <c r="K34" s="2">
        <v>6.0732132775850003</v>
      </c>
      <c r="L34" s="1">
        <v>5.77</v>
      </c>
      <c r="M34" s="4">
        <f t="shared" si="0"/>
        <v>-9.4894672241499903E-2</v>
      </c>
      <c r="N34" s="4">
        <f t="shared" si="1"/>
        <v>-0.12589999999999996</v>
      </c>
    </row>
    <row r="35" spans="1:14">
      <c r="A35" s="3">
        <v>34698</v>
      </c>
      <c r="B35" s="2">
        <v>7.2523999999999997</v>
      </c>
      <c r="C35" s="2">
        <v>7.5629999999999997</v>
      </c>
      <c r="D35" s="2">
        <v>7.6626000000000003</v>
      </c>
      <c r="E35" s="2">
        <v>7.7117000000000004</v>
      </c>
      <c r="F35" s="2">
        <v>7.7417999999999996</v>
      </c>
      <c r="G35" s="2">
        <v>7.7628000000000004</v>
      </c>
      <c r="H35" s="2">
        <v>7.7788000000000004</v>
      </c>
      <c r="I35" s="2">
        <v>7.7916999999999996</v>
      </c>
      <c r="J35" s="2">
        <v>7.8023999999999996</v>
      </c>
      <c r="K35" s="2">
        <v>7.8116000000000003</v>
      </c>
      <c r="L35" s="1">
        <v>7.81</v>
      </c>
      <c r="M35" s="4">
        <f t="shared" si="0"/>
        <v>0.27503892471199998</v>
      </c>
      <c r="N35" s="4">
        <f t="shared" si="1"/>
        <v>0.26709999999999995</v>
      </c>
    </row>
    <row r="36" spans="1:14">
      <c r="A36" s="3">
        <v>35062</v>
      </c>
      <c r="B36" s="2">
        <v>5.1379724931900004</v>
      </c>
      <c r="C36" s="2">
        <v>5.1472995064129998</v>
      </c>
      <c r="D36" s="2">
        <v>5.2072850698590001</v>
      </c>
      <c r="E36" s="2">
        <v>5.2788588296340002</v>
      </c>
      <c r="F36" s="2">
        <v>5.3522501843699999</v>
      </c>
      <c r="G36" s="2">
        <v>5.4243260076680002</v>
      </c>
      <c r="H36" s="2">
        <v>5.4938618277389999</v>
      </c>
      <c r="I36" s="2">
        <v>5.5603434299309997</v>
      </c>
      <c r="J36" s="2">
        <v>5.6235675032000003</v>
      </c>
      <c r="K36" s="2">
        <v>5.6834821161819997</v>
      </c>
      <c r="L36" s="1">
        <v>5.71</v>
      </c>
      <c r="M36" s="4">
        <f t="shared" si="0"/>
        <v>-6.2494344062900354E-3</v>
      </c>
      <c r="N36" s="4">
        <f t="shared" si="1"/>
        <v>4.0000000000000573E-3</v>
      </c>
    </row>
    <row r="37" spans="1:14">
      <c r="A37" s="3">
        <v>35430</v>
      </c>
      <c r="B37" s="2">
        <v>5.5791514657069996</v>
      </c>
      <c r="C37" s="2">
        <v>5.8259166903509998</v>
      </c>
      <c r="D37" s="2">
        <v>5.9810052081349996</v>
      </c>
      <c r="E37" s="2">
        <v>6.0842906976049997</v>
      </c>
      <c r="F37" s="2">
        <v>6.1598541261240003</v>
      </c>
      <c r="G37" s="2">
        <v>6.2217143421419996</v>
      </c>
      <c r="H37" s="2">
        <v>6.2775824964369997</v>
      </c>
      <c r="I37" s="2">
        <v>6.3313020253500003</v>
      </c>
      <c r="J37" s="2">
        <v>6.3844182891610002</v>
      </c>
      <c r="K37" s="2">
        <v>6.4371750683929996</v>
      </c>
      <c r="L37" s="1">
        <v>6.3</v>
      </c>
      <c r="M37" s="4">
        <f t="shared" si="0"/>
        <v>0.12634535799448998</v>
      </c>
      <c r="N37" s="4">
        <f t="shared" si="1"/>
        <v>0.10710000000000001</v>
      </c>
    </row>
    <row r="38" spans="1:14">
      <c r="A38" s="3">
        <v>35795</v>
      </c>
      <c r="B38" s="2">
        <v>5.5653659770430002</v>
      </c>
      <c r="C38" s="2">
        <v>5.6157865065559998</v>
      </c>
      <c r="D38" s="2">
        <v>5.6392673426139996</v>
      </c>
      <c r="E38" s="2">
        <v>5.6521035449300001</v>
      </c>
      <c r="F38" s="2">
        <v>5.663369240053</v>
      </c>
      <c r="G38" s="2">
        <v>5.6776053360759997</v>
      </c>
      <c r="H38" s="2">
        <v>5.6965889448120004</v>
      </c>
      <c r="I38" s="2">
        <v>5.7204842691589999</v>
      </c>
      <c r="J38" s="2">
        <v>5.7485794316090004</v>
      </c>
      <c r="K38" s="2">
        <v>5.7797482215039997</v>
      </c>
      <c r="L38" s="1">
        <v>5.81</v>
      </c>
      <c r="M38" s="4">
        <f t="shared" si="0"/>
        <v>0.13436533626279995</v>
      </c>
      <c r="N38" s="4">
        <f t="shared" si="1"/>
        <v>0.16249999999999992</v>
      </c>
    </row>
    <row r="39" spans="1:14">
      <c r="A39" s="3">
        <v>36160</v>
      </c>
      <c r="B39" s="2">
        <v>4.6041323088570003</v>
      </c>
      <c r="C39" s="2">
        <v>4.5829289625009997</v>
      </c>
      <c r="D39" s="2">
        <v>4.5900219902749999</v>
      </c>
      <c r="E39" s="2">
        <v>4.6189586378560001</v>
      </c>
      <c r="F39" s="2">
        <v>4.6642959597560001</v>
      </c>
      <c r="G39" s="2">
        <v>4.7214651331870003</v>
      </c>
      <c r="H39" s="2">
        <v>4.7866526330230004</v>
      </c>
      <c r="I39" s="2">
        <v>4.8566962652600001</v>
      </c>
      <c r="J39" s="2">
        <v>4.9289942876400001</v>
      </c>
      <c r="K39" s="2">
        <v>5.0014260511490001</v>
      </c>
      <c r="L39" s="1">
        <v>4.6500000000000004</v>
      </c>
      <c r="M39" s="4">
        <f t="shared" si="0"/>
        <v>-9.8274321447640034E-2</v>
      </c>
      <c r="N39" s="4">
        <f t="shared" si="1"/>
        <v>-0.10020000000000004</v>
      </c>
    </row>
    <row r="40" spans="1:14">
      <c r="A40" s="3">
        <v>36525</v>
      </c>
      <c r="B40" s="2">
        <v>6.0173266743960001</v>
      </c>
      <c r="C40" s="2">
        <v>6.1832123374870003</v>
      </c>
      <c r="D40" s="2">
        <v>6.2263467738570002</v>
      </c>
      <c r="E40" s="2">
        <v>6.2803465149789997</v>
      </c>
      <c r="F40" s="2">
        <v>6.3535063128419997</v>
      </c>
      <c r="G40" s="2">
        <v>6.4346010786000001</v>
      </c>
      <c r="H40" s="2">
        <v>6.5141157354399999</v>
      </c>
      <c r="I40" s="2">
        <v>6.5864998671789996</v>
      </c>
      <c r="J40" s="2">
        <v>6.6490769618060002</v>
      </c>
      <c r="K40" s="2">
        <v>6.7008901195849999</v>
      </c>
      <c r="L40" s="1">
        <v>6.28</v>
      </c>
      <c r="M40" s="4">
        <f t="shared" si="0"/>
        <v>0.19447117287620003</v>
      </c>
      <c r="N40" s="4">
        <f t="shared" si="1"/>
        <v>0.15640000000000001</v>
      </c>
    </row>
    <row r="41" spans="1:14">
      <c r="A41" s="3">
        <v>36889</v>
      </c>
      <c r="B41" s="2">
        <v>5.4461660503739999</v>
      </c>
      <c r="C41" s="2">
        <v>5.1457697433189997</v>
      </c>
      <c r="D41" s="2">
        <v>5.0326322916009998</v>
      </c>
      <c r="E41" s="2">
        <v>5.014540250594</v>
      </c>
      <c r="F41" s="2">
        <v>5.0441598190779997</v>
      </c>
      <c r="G41" s="2">
        <v>5.0965982324740002</v>
      </c>
      <c r="H41" s="2">
        <v>5.158477841821</v>
      </c>
      <c r="I41" s="2">
        <v>5.2224951075849999</v>
      </c>
      <c r="J41" s="2">
        <v>5.28464265647</v>
      </c>
      <c r="K41" s="2">
        <v>5.3427520768149996</v>
      </c>
      <c r="L41" s="1">
        <v>5.24</v>
      </c>
      <c r="M41" s="4">
        <f t="shared" si="0"/>
        <v>4.96252076815E-2</v>
      </c>
      <c r="N41" s="4">
        <f t="shared" si="1"/>
        <v>6.5900000000000042E-2</v>
      </c>
    </row>
    <row r="42" spans="1:14">
      <c r="A42" s="3">
        <v>37256</v>
      </c>
      <c r="B42" s="2">
        <v>2.0840999999999998</v>
      </c>
      <c r="C42" s="2">
        <v>3.0627</v>
      </c>
      <c r="D42" s="2">
        <v>3.7433000000000001</v>
      </c>
      <c r="E42" s="2">
        <v>4.2103000000000002</v>
      </c>
      <c r="F42" s="2">
        <v>4.5575000000000001</v>
      </c>
      <c r="G42" s="2">
        <v>4.8304</v>
      </c>
      <c r="H42" s="2">
        <v>5.0517000000000003</v>
      </c>
      <c r="I42" s="2">
        <v>5.2339000000000002</v>
      </c>
      <c r="J42" s="2">
        <v>5.3849999999999998</v>
      </c>
      <c r="K42" s="2">
        <v>5.5106000000000002</v>
      </c>
      <c r="L42" s="1">
        <v>5.09</v>
      </c>
      <c r="M42" s="4">
        <f t="shared" si="0"/>
        <v>0.18820700000000001</v>
      </c>
      <c r="N42" s="4">
        <f t="shared" si="1"/>
        <v>0.14629999999999996</v>
      </c>
    </row>
    <row r="43" spans="1:14">
      <c r="A43" s="3">
        <v>37621</v>
      </c>
      <c r="B43" s="2">
        <v>1.2388999999999999</v>
      </c>
      <c r="C43" s="2">
        <v>1.5945</v>
      </c>
      <c r="D43" s="2">
        <v>2.0350000000000001</v>
      </c>
      <c r="E43" s="2">
        <v>2.4584000000000001</v>
      </c>
      <c r="F43" s="2">
        <v>2.8458000000000001</v>
      </c>
      <c r="G43" s="2">
        <v>3.1949999999999998</v>
      </c>
      <c r="H43" s="2">
        <v>3.5074999999999998</v>
      </c>
      <c r="I43" s="2">
        <v>3.7854999999999999</v>
      </c>
      <c r="J43" s="2">
        <v>4.0316999999999998</v>
      </c>
      <c r="K43" s="2">
        <v>4.2487000000000004</v>
      </c>
      <c r="L43" s="1">
        <v>4.03</v>
      </c>
      <c r="M43" s="4">
        <f t="shared" si="0"/>
        <v>3.2533000000000027E-2</v>
      </c>
      <c r="N43" s="4">
        <f t="shared" si="1"/>
        <v>1.8700000000000116E-2</v>
      </c>
    </row>
    <row r="44" spans="1:14">
      <c r="A44" s="3">
        <v>37986</v>
      </c>
      <c r="B44" s="2">
        <v>1.2426999999999999</v>
      </c>
      <c r="C44" s="2">
        <v>1.825</v>
      </c>
      <c r="D44" s="2">
        <v>2.3795999999999999</v>
      </c>
      <c r="E44" s="2">
        <v>2.8496000000000001</v>
      </c>
      <c r="F44" s="2">
        <v>3.2465000000000002</v>
      </c>
      <c r="G44" s="2">
        <v>3.5861999999999998</v>
      </c>
      <c r="H44" s="2">
        <v>3.88</v>
      </c>
      <c r="I44" s="2">
        <v>4.1359000000000004</v>
      </c>
      <c r="J44" s="2">
        <v>4.3593000000000002</v>
      </c>
      <c r="K44" s="2">
        <v>4.5544000000000002</v>
      </c>
      <c r="L44" s="1">
        <v>4.2699999999999996</v>
      </c>
      <c r="M44" s="4">
        <f t="shared" si="0"/>
        <v>7.1194000000000063E-2</v>
      </c>
      <c r="N44" s="4">
        <f t="shared" si="1"/>
        <v>4.6299999999999883E-2</v>
      </c>
    </row>
    <row r="45" spans="1:14">
      <c r="A45" s="3">
        <v>38352</v>
      </c>
      <c r="B45" s="2">
        <v>2.7690999999999999</v>
      </c>
      <c r="C45" s="2">
        <v>3.0653000000000001</v>
      </c>
      <c r="D45" s="2">
        <v>3.2722000000000002</v>
      </c>
      <c r="E45" s="2">
        <v>3.4518</v>
      </c>
      <c r="F45" s="2">
        <v>3.6246999999999998</v>
      </c>
      <c r="G45" s="2">
        <v>3.7949999999999999</v>
      </c>
      <c r="H45" s="2">
        <v>3.9611000000000001</v>
      </c>
      <c r="I45" s="2">
        <v>4.1201999999999996</v>
      </c>
      <c r="J45" s="2">
        <v>4.2694000000000001</v>
      </c>
      <c r="K45" s="2">
        <v>4.407</v>
      </c>
      <c r="L45" s="1">
        <v>4.2300000000000004</v>
      </c>
      <c r="M45" s="4">
        <f t="shared" si="0"/>
        <v>4.4664000000000002E-2</v>
      </c>
      <c r="N45" s="4">
        <f t="shared" si="1"/>
        <v>2.0700000000000076E-2</v>
      </c>
    </row>
    <row r="46" spans="1:14">
      <c r="A46" s="3">
        <v>38716</v>
      </c>
      <c r="B46" s="2">
        <v>4.4006999999999996</v>
      </c>
      <c r="C46" s="2">
        <v>4.3815</v>
      </c>
      <c r="D46" s="2">
        <v>4.3388999999999998</v>
      </c>
      <c r="E46" s="2">
        <v>4.3066000000000004</v>
      </c>
      <c r="F46" s="2">
        <v>4.2946</v>
      </c>
      <c r="G46" s="2">
        <v>4.3026</v>
      </c>
      <c r="H46" s="2">
        <v>4.3262</v>
      </c>
      <c r="I46" s="2">
        <v>4.3604000000000003</v>
      </c>
      <c r="J46" s="2">
        <v>4.4004000000000003</v>
      </c>
      <c r="K46" s="2">
        <v>4.4421999999999997</v>
      </c>
      <c r="L46" s="1">
        <v>4.47</v>
      </c>
      <c r="M46" s="4">
        <f t="shared" si="0"/>
        <v>2.0716000000000036E-2</v>
      </c>
      <c r="N46" s="4">
        <f t="shared" si="1"/>
        <v>3.6599999999999966E-2</v>
      </c>
    </row>
    <row r="47" spans="1:14">
      <c r="A47" s="3">
        <v>39080</v>
      </c>
      <c r="B47" s="2">
        <v>4.9530000000000003</v>
      </c>
      <c r="C47" s="2">
        <v>4.7737999999999996</v>
      </c>
      <c r="D47" s="2">
        <v>4.6687000000000003</v>
      </c>
      <c r="E47" s="2">
        <v>4.6163999999999996</v>
      </c>
      <c r="F47" s="2">
        <v>4.6006</v>
      </c>
      <c r="G47" s="2">
        <v>4.6093999999999999</v>
      </c>
      <c r="H47" s="2">
        <v>4.6340000000000003</v>
      </c>
      <c r="I47" s="2">
        <v>4.6676000000000002</v>
      </c>
      <c r="J47" s="2">
        <v>4.7055999999999996</v>
      </c>
      <c r="K47" s="2">
        <v>4.7443999999999997</v>
      </c>
      <c r="L47" s="1">
        <v>4.5599999999999996</v>
      </c>
      <c r="M47" s="4">
        <f t="shared" si="0"/>
        <v>9.9643999999999983E-2</v>
      </c>
      <c r="N47" s="4">
        <f t="shared" si="1"/>
        <v>8.6999999999999952E-2</v>
      </c>
    </row>
    <row r="48" spans="1:14">
      <c r="A48" s="3">
        <v>39447</v>
      </c>
      <c r="B48" s="2">
        <v>3.2101999999999999</v>
      </c>
      <c r="C48" s="2">
        <v>3.0303</v>
      </c>
      <c r="D48" s="2">
        <v>3.0733000000000001</v>
      </c>
      <c r="E48" s="2">
        <v>3.2294</v>
      </c>
      <c r="F48" s="2">
        <v>3.4321999999999999</v>
      </c>
      <c r="G48" s="2">
        <v>3.6432000000000002</v>
      </c>
      <c r="H48" s="2">
        <v>3.8412000000000002</v>
      </c>
      <c r="I48" s="2">
        <v>4.0162000000000004</v>
      </c>
      <c r="J48" s="2">
        <v>4.1643999999999997</v>
      </c>
      <c r="K48" s="2">
        <v>4.2858999999999998</v>
      </c>
      <c r="L48" s="1">
        <v>4.0999999999999996</v>
      </c>
      <c r="M48" s="4">
        <f t="shared" si="0"/>
        <v>0.18616600545883205</v>
      </c>
      <c r="N48" s="4">
        <f t="shared" si="1"/>
        <v>0.19219999999999998</v>
      </c>
    </row>
    <row r="49" spans="1:14">
      <c r="A49" s="3">
        <v>39813</v>
      </c>
      <c r="B49" s="2">
        <v>0.384999990463257</v>
      </c>
      <c r="C49" s="2">
        <v>0.571300029754639</v>
      </c>
      <c r="D49" s="2">
        <v>0.86419999599456798</v>
      </c>
      <c r="E49" s="2">
        <v>1.20570003986359</v>
      </c>
      <c r="F49" s="2">
        <v>1.5568000078201301</v>
      </c>
      <c r="G49" s="2">
        <v>1.89279997348785</v>
      </c>
      <c r="H49" s="2">
        <v>2.1988000869750999</v>
      </c>
      <c r="I49" s="2">
        <v>2.4667999744415301</v>
      </c>
      <c r="J49" s="2">
        <v>2.6935999393463099</v>
      </c>
      <c r="K49" s="2">
        <v>2.87910008430481</v>
      </c>
      <c r="L49" s="1">
        <v>2.42</v>
      </c>
      <c r="M49" s="4">
        <f t="shared" si="0"/>
        <v>-7.0074000358581509E-2</v>
      </c>
      <c r="N49" s="4">
        <f t="shared" si="1"/>
        <v>-8.1100000000000033E-2</v>
      </c>
    </row>
    <row r="50" spans="1:14">
      <c r="A50" s="3">
        <v>40178</v>
      </c>
      <c r="B50" s="2">
        <v>0.54610002040863004</v>
      </c>
      <c r="C50" s="2">
        <v>1.1416000127792401</v>
      </c>
      <c r="D50" s="2">
        <v>1.70519995689392</v>
      </c>
      <c r="E50" s="2">
        <v>2.2212998867034899</v>
      </c>
      <c r="F50" s="2">
        <v>2.6823999881744398</v>
      </c>
      <c r="G50" s="2">
        <v>3.0862998962402299</v>
      </c>
      <c r="H50" s="2">
        <v>3.4342999458313002</v>
      </c>
      <c r="I50" s="2">
        <v>3.7298998832702601</v>
      </c>
      <c r="J50" s="2">
        <v>3.97760009765625</v>
      </c>
      <c r="K50" s="2">
        <v>4.1824002265930202</v>
      </c>
      <c r="L50" s="1">
        <v>3.59</v>
      </c>
      <c r="M50" s="4">
        <f t="shared" si="0"/>
        <v>0.11872902870178237</v>
      </c>
      <c r="N50" s="4">
        <f t="shared" si="1"/>
        <v>6.2899999999999998E-2</v>
      </c>
    </row>
    <row r="51" spans="1:14">
      <c r="A51" s="3">
        <v>40543</v>
      </c>
      <c r="B51" s="2">
        <v>0.30329999327659601</v>
      </c>
      <c r="C51" s="2">
        <v>0.59560000896453902</v>
      </c>
      <c r="D51" s="2">
        <v>1.0605000257492101</v>
      </c>
      <c r="E51" s="2">
        <v>1.55289995670319</v>
      </c>
      <c r="F51" s="2">
        <v>2.01290011405945</v>
      </c>
      <c r="G51" s="2">
        <v>2.4200999736785902</v>
      </c>
      <c r="H51" s="2">
        <v>2.77189993858337</v>
      </c>
      <c r="I51" s="2">
        <v>3.0724000930786102</v>
      </c>
      <c r="J51" s="2">
        <v>3.3278999328613299</v>
      </c>
      <c r="K51" s="2">
        <v>3.54480004310608</v>
      </c>
      <c r="L51" s="1">
        <v>3.29</v>
      </c>
      <c r="M51" s="4">
        <f t="shared" si="0"/>
        <v>0.19281299948692301</v>
      </c>
      <c r="N51" s="4">
        <f t="shared" si="1"/>
        <v>0.15079999999999999</v>
      </c>
    </row>
    <row r="52" spans="1:14">
      <c r="A52" s="3">
        <v>40907</v>
      </c>
      <c r="B52" s="2">
        <v>0.14929999411106101</v>
      </c>
      <c r="C52" s="2">
        <v>0.24250000715255701</v>
      </c>
      <c r="D52" s="2">
        <v>0.41650000214576699</v>
      </c>
      <c r="E52" s="2">
        <v>0.63650000095367398</v>
      </c>
      <c r="F52" s="2">
        <v>0.87779998779296897</v>
      </c>
      <c r="G52" s="2">
        <v>1.1237000226974501</v>
      </c>
      <c r="H52" s="2">
        <v>1.3630000352859499</v>
      </c>
      <c r="I52" s="2">
        <v>1.58860003948212</v>
      </c>
      <c r="J52" s="2">
        <v>1.7963000535964999</v>
      </c>
      <c r="K52" s="2">
        <v>1.9843000173568699</v>
      </c>
      <c r="L52" s="1">
        <v>1.98</v>
      </c>
      <c r="M52" s="4">
        <f t="shared" si="0"/>
        <v>5.2783005237578888E-2</v>
      </c>
      <c r="N52" s="4">
        <f t="shared" si="1"/>
        <v>4.3200000000000002E-2</v>
      </c>
    </row>
    <row r="53" spans="1:14">
      <c r="A53" s="3">
        <v>41274</v>
      </c>
      <c r="B53" s="2">
        <v>0.1942999958992</v>
      </c>
      <c r="C53" s="2">
        <v>0.24850000441074399</v>
      </c>
      <c r="D53" s="2">
        <v>0.37560001015663103</v>
      </c>
      <c r="E53" s="2">
        <v>0.55049997568130504</v>
      </c>
      <c r="F53" s="2">
        <v>0.75389999151229903</v>
      </c>
      <c r="G53" s="2">
        <v>0.97149997949600198</v>
      </c>
      <c r="H53" s="2">
        <v>1.19280004501343</v>
      </c>
      <c r="I53" s="2">
        <v>1.41019999980927</v>
      </c>
      <c r="J53" s="2">
        <v>1.6182999610900899</v>
      </c>
      <c r="K53" s="2">
        <v>1.8136999607086199</v>
      </c>
      <c r="L53" s="1">
        <v>1.72</v>
      </c>
      <c r="M53" s="4">
        <f t="shared" si="0"/>
        <v>-9.0330996513366596E-2</v>
      </c>
      <c r="N53" s="4">
        <f t="shared" si="1"/>
        <v>-8.8999999999999982E-2</v>
      </c>
    </row>
    <row r="54" spans="1:14">
      <c r="A54" s="3">
        <v>41639</v>
      </c>
      <c r="B54" s="2">
        <v>0.15109999477863301</v>
      </c>
      <c r="C54" s="2">
        <v>0.39530000090599099</v>
      </c>
      <c r="D54" s="2">
        <v>0.83060002326965299</v>
      </c>
      <c r="E54" s="2">
        <v>1.3094999790191699</v>
      </c>
      <c r="F54" s="2">
        <v>1.76269996166229</v>
      </c>
      <c r="G54" s="2">
        <v>2.1628000736236599</v>
      </c>
      <c r="H54" s="2">
        <v>2.5028998851776101</v>
      </c>
      <c r="I54" s="2">
        <v>2.7859001159668</v>
      </c>
      <c r="J54" s="2">
        <v>3.01889991760254</v>
      </c>
      <c r="K54" s="2">
        <v>3.2097001075744598</v>
      </c>
      <c r="L54" s="1">
        <v>2.9</v>
      </c>
      <c r="M54" s="4">
        <f t="shared" si="0"/>
        <v>0.12481500148773129</v>
      </c>
      <c r="N54" s="4">
        <f t="shared" si="1"/>
        <v>9.11E-2</v>
      </c>
    </row>
    <row r="55" spans="1:14">
      <c r="A55" s="3">
        <v>42004</v>
      </c>
      <c r="B55" s="2">
        <v>0.29399999976158098</v>
      </c>
      <c r="C55" s="2">
        <v>0.70639997720718395</v>
      </c>
      <c r="D55" s="2">
        <v>1.1184999942779501</v>
      </c>
      <c r="E55" s="2">
        <v>1.44710004329681</v>
      </c>
      <c r="F55" s="2">
        <v>1.69120001792908</v>
      </c>
      <c r="G55" s="2">
        <v>1.86960005760193</v>
      </c>
      <c r="H55" s="2">
        <v>2.0013999938964799</v>
      </c>
      <c r="I55" s="2">
        <v>2.1012001037597701</v>
      </c>
      <c r="J55" s="2">
        <v>2.1795001029968302</v>
      </c>
      <c r="K55" s="2">
        <v>2.2432000637054399</v>
      </c>
      <c r="L55" s="1">
        <v>2.21</v>
      </c>
      <c r="M55" s="4">
        <f t="shared" si="0"/>
        <v>1.7140002250670711E-2</v>
      </c>
      <c r="N55" s="4">
        <f t="shared" si="1"/>
        <v>1.9399999999999976E-2</v>
      </c>
    </row>
    <row r="56" spans="1:14">
      <c r="A56" s="3">
        <v>42369</v>
      </c>
      <c r="B56" s="2">
        <v>0.78979998826980602</v>
      </c>
      <c r="C56" s="2">
        <v>1.07550001144409</v>
      </c>
      <c r="D56" s="2">
        <v>1.3501000404357899</v>
      </c>
      <c r="E56" s="2">
        <v>1.5921000242233301</v>
      </c>
      <c r="F56" s="2">
        <v>1.7961000204086299</v>
      </c>
      <c r="G56" s="2">
        <v>1.96379995346069</v>
      </c>
      <c r="H56" s="2">
        <v>2.1003000736236599</v>
      </c>
      <c r="I56" s="2">
        <v>2.2111999988555899</v>
      </c>
      <c r="J56" s="2">
        <v>2.3020000457763699</v>
      </c>
      <c r="K56" s="2">
        <v>2.3775000572204599</v>
      </c>
      <c r="L56" s="1">
        <v>2.2400000000000002</v>
      </c>
      <c r="M56" s="4">
        <f t="shared" si="0"/>
        <v>1.4730012416839956E-2</v>
      </c>
      <c r="N56" s="4">
        <f t="shared" si="1"/>
        <v>-1.0000000000001563E-4</v>
      </c>
    </row>
    <row r="57" spans="1:14">
      <c r="A57" s="3">
        <v>42734</v>
      </c>
      <c r="B57" s="2">
        <v>0.89770001173019398</v>
      </c>
      <c r="C57" s="2">
        <v>1.20179998874664</v>
      </c>
      <c r="D57" s="2">
        <v>1.5013999938964799</v>
      </c>
      <c r="E57" s="2">
        <v>1.76310002803802</v>
      </c>
      <c r="F57" s="2">
        <v>1.978600025177</v>
      </c>
      <c r="G57" s="2">
        <v>2.1507000923156698</v>
      </c>
      <c r="H57" s="2">
        <v>2.2864000797271702</v>
      </c>
      <c r="I57" s="2">
        <v>2.3931999206543</v>
      </c>
      <c r="J57" s="2">
        <v>2.4779999256134002</v>
      </c>
      <c r="K57" s="2">
        <v>2.5466001033782999</v>
      </c>
      <c r="L57" s="1">
        <v>2.4900000000000002</v>
      </c>
      <c r="M57" s="4">
        <f t="shared" si="0"/>
        <v>3.85520052909855E-2</v>
      </c>
      <c r="N57" s="4">
        <f t="shared" si="1"/>
        <v>3.3000000000000043E-2</v>
      </c>
    </row>
    <row r="58" spans="1:14">
      <c r="A58" s="3">
        <v>43098</v>
      </c>
      <c r="B58" s="2">
        <v>1.7573000192642201</v>
      </c>
      <c r="C58" s="2">
        <v>1.8852000236511199</v>
      </c>
      <c r="D58" s="2">
        <v>2.0032999515533398</v>
      </c>
      <c r="E58" s="2">
        <v>2.1056001186370801</v>
      </c>
      <c r="F58" s="2">
        <v>2.1912000179290798</v>
      </c>
      <c r="G58" s="2">
        <v>2.2613000869750999</v>
      </c>
      <c r="H58" s="2">
        <v>2.3180000782012899</v>
      </c>
      <c r="I58" s="2">
        <v>2.3638000488281201</v>
      </c>
      <c r="J58" s="2">
        <v>2.4012000560760498</v>
      </c>
      <c r="K58" s="2">
        <v>2.4319999217987101</v>
      </c>
      <c r="L58" s="1">
        <v>2.4</v>
      </c>
      <c r="M58" s="4">
        <f t="shared" si="0"/>
        <v>3.3589863777168105E-3</v>
      </c>
      <c r="N58" s="4">
        <f t="shared" si="1"/>
        <v>-1.4699999999999989E-2</v>
      </c>
    </row>
    <row r="59" spans="1:14">
      <c r="A59" s="3">
        <v>43465</v>
      </c>
      <c r="B59" s="2">
        <v>2.5743000507354701</v>
      </c>
      <c r="C59" s="2">
        <v>2.48589992523193</v>
      </c>
      <c r="D59" s="2">
        <v>2.4623999595642099</v>
      </c>
      <c r="E59" s="2">
        <v>2.4751999378204301</v>
      </c>
      <c r="F59" s="2">
        <v>2.5065000057220499</v>
      </c>
      <c r="G59" s="2">
        <v>2.5459001064300502</v>
      </c>
      <c r="H59" s="2">
        <v>2.5873000621795699</v>
      </c>
      <c r="I59" s="2">
        <v>2.6275000572204599</v>
      </c>
      <c r="J59" s="2">
        <v>2.6649000644683798</v>
      </c>
      <c r="K59" s="2">
        <v>2.6991000175476101</v>
      </c>
      <c r="L59" s="1">
        <v>2.83</v>
      </c>
      <c r="M59" s="4">
        <f t="shared" si="0"/>
        <v>9.7605001926422519E-2</v>
      </c>
      <c r="N59" s="4">
        <f t="shared" si="1"/>
        <v>0.11559999999999999</v>
      </c>
    </row>
    <row r="60" spans="1:14">
      <c r="A60" s="3">
        <v>43830</v>
      </c>
      <c r="B60" s="2">
        <v>1.6231000423431401</v>
      </c>
      <c r="C60" s="2">
        <v>1.59409999847412</v>
      </c>
      <c r="D60" s="2">
        <v>1.61590003967285</v>
      </c>
      <c r="E60" s="2">
        <v>1.6591000556945801</v>
      </c>
      <c r="F60" s="2">
        <v>1.71010005474091</v>
      </c>
      <c r="G60" s="2">
        <v>1.76300001144409</v>
      </c>
      <c r="H60" s="2">
        <v>1.8151999711990401</v>
      </c>
      <c r="I60" s="2">
        <v>1.86580002307892</v>
      </c>
      <c r="J60" s="2">
        <v>1.91449999809265</v>
      </c>
      <c r="K60" s="2">
        <v>1.9610999822616599</v>
      </c>
      <c r="L60" s="1">
        <v>1.86</v>
      </c>
      <c r="M60" s="4">
        <f t="shared" si="0"/>
        <v>0.120527998226166</v>
      </c>
      <c r="N60" s="4">
        <f t="shared" si="1"/>
        <v>0.1023</v>
      </c>
    </row>
    <row r="61" spans="1:14">
      <c r="A61" s="3">
        <v>44196</v>
      </c>
      <c r="B61" s="2">
        <v>0.1172</v>
      </c>
      <c r="C61" s="2">
        <v>0.11559999999999999</v>
      </c>
      <c r="D61" s="2">
        <v>0.17799999999999999</v>
      </c>
      <c r="E61" s="2">
        <v>0.27560000000000001</v>
      </c>
      <c r="F61" s="2">
        <v>0.39</v>
      </c>
      <c r="G61" s="2">
        <v>0.50929999999999997</v>
      </c>
      <c r="H61" s="2">
        <v>0.62649999999999995</v>
      </c>
      <c r="I61" s="2">
        <v>0.73729999999999996</v>
      </c>
      <c r="J61" s="2">
        <v>0.83979999999999999</v>
      </c>
      <c r="K61" s="2">
        <v>0.93310000000000004</v>
      </c>
      <c r="L61" s="1">
        <v>0.93</v>
      </c>
      <c r="M61" s="4">
        <f t="shared" si="0"/>
        <v>-4.5739999999999996E-2</v>
      </c>
      <c r="N61" s="4">
        <f t="shared" si="1"/>
        <v>-3.9299999999999995E-2</v>
      </c>
    </row>
    <row r="62" spans="1:14">
      <c r="A62" s="3">
        <v>44561</v>
      </c>
      <c r="B62" s="2">
        <v>0.42259999999999998</v>
      </c>
      <c r="C62" s="2">
        <v>0.75509999999999999</v>
      </c>
      <c r="D62" s="2">
        <v>0.98599999999999999</v>
      </c>
      <c r="E62" s="2">
        <v>1.1498999999999999</v>
      </c>
      <c r="F62" s="2">
        <v>1.2699</v>
      </c>
      <c r="G62" s="2">
        <v>1.3612</v>
      </c>
      <c r="H62" s="2">
        <v>1.4335</v>
      </c>
      <c r="I62" s="2">
        <v>1.4934000000000001</v>
      </c>
      <c r="J62" s="2">
        <v>1.5449999999999999</v>
      </c>
      <c r="K62" s="2">
        <v>1.5907</v>
      </c>
      <c r="L62" s="1">
        <v>1.47</v>
      </c>
      <c r="M62" s="4">
        <f t="shared" si="0"/>
        <v>-0.188222</v>
      </c>
      <c r="N62" s="4">
        <f t="shared" si="1"/>
        <v>-0.17879999999999999</v>
      </c>
    </row>
    <row r="63" spans="1:14">
      <c r="A63" s="3">
        <v>44925</v>
      </c>
      <c r="B63" s="2">
        <v>4.7028999999999996</v>
      </c>
      <c r="C63" s="2">
        <v>4.4321000000000002</v>
      </c>
      <c r="D63" s="2">
        <v>4.2294999999999998</v>
      </c>
      <c r="E63" s="2">
        <v>4.0824999999999996</v>
      </c>
      <c r="F63" s="2">
        <v>3.9802</v>
      </c>
      <c r="G63" s="2">
        <v>3.9137</v>
      </c>
      <c r="H63" s="2">
        <v>3.8754</v>
      </c>
      <c r="I63" s="2">
        <v>3.8589000000000002</v>
      </c>
      <c r="J63" s="2">
        <v>3.8588</v>
      </c>
      <c r="K63" s="2">
        <v>3.8708</v>
      </c>
      <c r="L63" s="1">
        <v>3.62</v>
      </c>
      <c r="M63" s="4">
        <f t="shared" si="0"/>
        <v>3.796099999999996E-2</v>
      </c>
      <c r="N63" s="4">
        <f t="shared" si="1"/>
        <v>2.0000000000010233E-4</v>
      </c>
    </row>
    <row r="64" spans="1:14">
      <c r="A64" s="3">
        <v>45289</v>
      </c>
      <c r="B64" s="2">
        <v>4.7093999999999996</v>
      </c>
      <c r="C64" s="2">
        <v>4.2131999999999996</v>
      </c>
      <c r="D64" s="2">
        <v>3.9767999999999999</v>
      </c>
      <c r="E64" s="2">
        <v>3.8685999999999998</v>
      </c>
      <c r="F64" s="2">
        <v>3.8262999999999998</v>
      </c>
      <c r="G64" s="2">
        <v>3.8189000000000002</v>
      </c>
      <c r="H64" s="2">
        <v>3.8304</v>
      </c>
      <c r="I64" s="2">
        <v>3.8521000000000001</v>
      </c>
      <c r="J64" s="2">
        <v>3.8791000000000002</v>
      </c>
      <c r="K64" s="2">
        <v>3.9083999999999999</v>
      </c>
      <c r="L64" s="1">
        <v>4.0199999999999996</v>
      </c>
      <c r="M64" s="4">
        <f t="shared" si="0"/>
        <v>-1.8282000000000024E-2</v>
      </c>
      <c r="N64" s="4">
        <f t="shared" si="1"/>
        <v>6.8999999999999773E-3</v>
      </c>
    </row>
    <row r="65" spans="1:14">
      <c r="A65" s="3">
        <v>45657</v>
      </c>
      <c r="B65" s="2">
        <v>4.1981999999999999</v>
      </c>
      <c r="C65" s="2">
        <v>4.2272999999999996</v>
      </c>
      <c r="D65" s="2">
        <v>4.2637999999999998</v>
      </c>
      <c r="E65" s="2">
        <v>4.3057999999999996</v>
      </c>
      <c r="F65" s="2">
        <v>4.3513999999999999</v>
      </c>
      <c r="G65" s="2">
        <v>4.3994</v>
      </c>
      <c r="H65" s="2">
        <v>4.4485000000000001</v>
      </c>
      <c r="I65" s="2">
        <v>4.4974999999999996</v>
      </c>
      <c r="J65" s="2">
        <v>4.5457999999999998</v>
      </c>
      <c r="K65" s="2">
        <v>4.5923999999999996</v>
      </c>
      <c r="L65" s="1">
        <v>4.3899999999999997</v>
      </c>
      <c r="M65" s="4">
        <f t="shared" si="0"/>
        <v>8.5199999999999956E-2</v>
      </c>
      <c r="N65" s="4">
        <f t="shared" si="1"/>
        <v>6.6400000000000001E-2</v>
      </c>
    </row>
    <row r="66" spans="1:14">
      <c r="A66" s="3">
        <v>46022</v>
      </c>
      <c r="B66" s="2">
        <v>3.5082</v>
      </c>
      <c r="C66" s="2">
        <v>3.4716999999999998</v>
      </c>
      <c r="D66" s="2">
        <v>3.5167000000000002</v>
      </c>
      <c r="E66" s="2">
        <v>3.6031</v>
      </c>
      <c r="F66" s="2">
        <v>3.7092000000000001</v>
      </c>
      <c r="G66" s="2">
        <v>3.8228</v>
      </c>
      <c r="H66" s="2">
        <v>3.9373999999999998</v>
      </c>
      <c r="I66" s="2">
        <v>4.0491000000000001</v>
      </c>
      <c r="J66" s="2">
        <v>4.1559999999999997</v>
      </c>
      <c r="K66" s="2">
        <v>4.2568000000000001</v>
      </c>
      <c r="L66" s="1">
        <v>4.1399999999999997</v>
      </c>
    </row>
    <row r="67" spans="1:14">
      <c r="A67" s="3"/>
    </row>
    <row r="68" spans="1:14">
      <c r="A68" s="3"/>
    </row>
    <row r="69" spans="1:14">
      <c r="A69" s="3"/>
    </row>
    <row r="70" spans="1:14">
      <c r="A70" s="3"/>
    </row>
    <row r="71" spans="1:14">
      <c r="A71" s="3"/>
    </row>
    <row r="72" spans="1:14">
      <c r="A72" s="3"/>
    </row>
    <row r="73" spans="1:14">
      <c r="A73" s="3"/>
    </row>
    <row r="74" spans="1:14">
      <c r="A74" s="3"/>
    </row>
    <row r="75" spans="1:14">
      <c r="A75" s="3"/>
    </row>
    <row r="76" spans="1:14">
      <c r="A76" s="3"/>
    </row>
    <row r="77" spans="1:14">
      <c r="A77" s="3"/>
    </row>
    <row r="78" spans="1:14">
      <c r="A78" s="3"/>
    </row>
    <row r="79" spans="1:14">
      <c r="A79" s="3"/>
    </row>
    <row r="80" spans="1:14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6C73-ADD0-418F-8AF3-92F09105BDDB}">
  <dimension ref="A1:C55"/>
  <sheetViews>
    <sheetView topLeftCell="A16" workbookViewId="0">
      <selection activeCell="E51" sqref="E51"/>
    </sheetView>
  </sheetViews>
  <sheetFormatPr defaultRowHeight="20.25"/>
  <cols>
    <col min="1" max="1" width="16.75" style="2" customWidth="1"/>
    <col min="2" max="3" width="16.75" style="5" customWidth="1"/>
  </cols>
  <sheetData>
    <row r="1" spans="1:3">
      <c r="A1" s="2" t="s">
        <v>15</v>
      </c>
      <c r="B1" s="5" t="s">
        <v>13</v>
      </c>
      <c r="C1" s="5" t="s">
        <v>14</v>
      </c>
    </row>
    <row r="2" spans="1:3">
      <c r="A2" s="2">
        <v>1972</v>
      </c>
      <c r="B2" s="5">
        <f>zeros!M12</f>
        <v>3.2901999999999987E-2</v>
      </c>
      <c r="C2" s="5">
        <f>zeros!N12</f>
        <v>2.0599999999999952E-2</v>
      </c>
    </row>
    <row r="3" spans="1:3">
      <c r="A3" s="2">
        <v>1973</v>
      </c>
      <c r="B3" s="5">
        <f>zeros!M13</f>
        <v>2.1972000000000023E-2</v>
      </c>
      <c r="C3" s="5">
        <f>zeros!N13</f>
        <v>2.9399999999999978E-2</v>
      </c>
    </row>
    <row r="4" spans="1:3">
      <c r="A4" s="2">
        <v>1974</v>
      </c>
      <c r="B4" s="5">
        <f>zeros!M14</f>
        <v>2.9235000000000042E-2</v>
      </c>
      <c r="C4" s="5">
        <f>zeros!N14</f>
        <v>5.3000000000000113E-3</v>
      </c>
    </row>
    <row r="5" spans="1:3">
      <c r="A5" s="2">
        <v>1975</v>
      </c>
      <c r="B5" s="5">
        <f>zeros!M15</f>
        <v>3.0765999999999991E-2</v>
      </c>
      <c r="C5" s="5">
        <f>zeros!N15</f>
        <v>2.2999999999999972E-2</v>
      </c>
    </row>
    <row r="6" spans="1:3">
      <c r="A6" s="2">
        <v>1976</v>
      </c>
      <c r="B6" s="5">
        <f>zeros!M16</f>
        <v>0.16465399999999997</v>
      </c>
      <c r="C6" s="5">
        <f>zeros!N16</f>
        <v>0.18170000000000003</v>
      </c>
    </row>
    <row r="7" spans="1:3">
      <c r="A7" s="2">
        <v>1977</v>
      </c>
      <c r="B7" s="5">
        <f>zeros!M17</f>
        <v>-1.57350000000001E-2</v>
      </c>
      <c r="C7" s="5">
        <f>zeros!N17</f>
        <v>-5.1000000000000515E-3</v>
      </c>
    </row>
    <row r="8" spans="1:3">
      <c r="A8" s="2">
        <v>1978</v>
      </c>
      <c r="B8" s="5">
        <f>zeros!M18</f>
        <v>-2.5716999999999785E-2</v>
      </c>
      <c r="C8" s="5">
        <f>zeros!N18</f>
        <v>-4.1899999999999979E-2</v>
      </c>
    </row>
    <row r="9" spans="1:3">
      <c r="A9" s="2">
        <v>1979</v>
      </c>
      <c r="B9" s="5">
        <f>zeros!M19</f>
        <v>-1.4926000000000102E-2</v>
      </c>
      <c r="C9" s="5">
        <f>zeros!N19</f>
        <v>-3.4100000000000109E-2</v>
      </c>
    </row>
    <row r="10" spans="1:3">
      <c r="A10" s="2">
        <v>1980</v>
      </c>
      <c r="B10" s="5">
        <f>zeros!M20</f>
        <v>-7.1294999999999928E-2</v>
      </c>
      <c r="C10" s="5">
        <f>zeros!N20</f>
        <v>-0.11659999999999997</v>
      </c>
    </row>
    <row r="11" spans="1:3">
      <c r="A11" s="2">
        <v>1981</v>
      </c>
      <c r="B11" s="5">
        <f>zeros!M21</f>
        <v>-3.1624999999999945E-2</v>
      </c>
      <c r="C11" s="5">
        <f>zeros!N21</f>
        <v>4.9200000000000021E-2</v>
      </c>
    </row>
    <row r="12" spans="1:3">
      <c r="A12" s="2">
        <v>1982</v>
      </c>
      <c r="B12" s="5">
        <f>zeros!M22</f>
        <v>0.40761399999999998</v>
      </c>
      <c r="C12" s="5">
        <f>zeros!N22</f>
        <v>0.42340000000000033</v>
      </c>
    </row>
    <row r="13" spans="1:3">
      <c r="A13" s="2">
        <v>1983</v>
      </c>
      <c r="B13" s="5">
        <f>zeros!M23</f>
        <v>3.3759999999999481E-3</v>
      </c>
      <c r="C13" s="5">
        <f>zeros!N23</f>
        <v>-1.0700000000000074E-2</v>
      </c>
    </row>
    <row r="14" spans="1:3">
      <c r="A14" s="2">
        <v>1984</v>
      </c>
      <c r="B14" s="5">
        <f>zeros!M24</f>
        <v>0.13510999999999995</v>
      </c>
      <c r="C14" s="5">
        <f>zeros!N24</f>
        <v>0.14799999999999996</v>
      </c>
    </row>
    <row r="15" spans="1:3">
      <c r="A15" s="2">
        <v>1985</v>
      </c>
      <c r="B15" s="5">
        <f>zeros!M25</f>
        <v>0.33028799999999991</v>
      </c>
      <c r="C15" s="5">
        <f>zeros!N25</f>
        <v>0.31659999999999999</v>
      </c>
    </row>
    <row r="16" spans="1:3">
      <c r="A16" s="2">
        <v>1986</v>
      </c>
      <c r="B16" s="5">
        <f>zeros!M26</f>
        <v>0.24701499999999982</v>
      </c>
      <c r="C16" s="5">
        <f>zeros!N26</f>
        <v>0.28609999999999991</v>
      </c>
    </row>
    <row r="17" spans="1:3">
      <c r="A17" s="2">
        <v>1987</v>
      </c>
      <c r="B17" s="5">
        <f>zeros!M27</f>
        <v>-4.2689785265990141E-2</v>
      </c>
      <c r="C17" s="5">
        <f>zeros!N27</f>
        <v>-9.8099999999999882E-2</v>
      </c>
    </row>
    <row r="18" spans="1:3">
      <c r="A18" s="2">
        <v>1988</v>
      </c>
      <c r="B18" s="5">
        <f>zeros!M28</f>
        <v>8.3190382887379857E-2</v>
      </c>
      <c r="C18" s="5">
        <f>zeros!N28</f>
        <v>7.9100000000000115E-2</v>
      </c>
    </row>
    <row r="19" spans="1:3">
      <c r="A19" s="2">
        <v>1989</v>
      </c>
      <c r="B19" s="5">
        <f>zeros!M29</f>
        <v>0.18943865445716002</v>
      </c>
      <c r="C19" s="5">
        <f>zeros!N29</f>
        <v>0.20539999999999992</v>
      </c>
    </row>
    <row r="20" spans="1:3">
      <c r="A20" s="2">
        <v>1990</v>
      </c>
      <c r="B20" s="5">
        <f>zeros!M30</f>
        <v>5.7996206564990022E-2</v>
      </c>
      <c r="C20" s="5">
        <f>zeros!N30</f>
        <v>5.6800000000000073E-2</v>
      </c>
    </row>
    <row r="21" spans="1:3">
      <c r="A21" s="2">
        <v>1991</v>
      </c>
      <c r="B21" s="5">
        <f>zeros!M31</f>
        <v>0.19295278178948003</v>
      </c>
      <c r="C21" s="5">
        <f>zeros!N31</f>
        <v>0.16989999999999994</v>
      </c>
    </row>
    <row r="22" spans="1:3">
      <c r="A22" s="2">
        <v>1992</v>
      </c>
      <c r="B22" s="5">
        <f>zeros!M32</f>
        <v>8.4474265135490043E-2</v>
      </c>
      <c r="C22" s="5">
        <f>zeros!N32</f>
        <v>9.9700000000000136E-2</v>
      </c>
    </row>
    <row r="23" spans="1:3">
      <c r="A23" s="2">
        <v>1993</v>
      </c>
      <c r="B23" s="5">
        <f>zeros!M33</f>
        <v>0.17436653089330009</v>
      </c>
      <c r="C23" s="5">
        <f>zeros!N33</f>
        <v>0.15769999999999995</v>
      </c>
    </row>
    <row r="24" spans="1:3">
      <c r="A24" s="2">
        <v>1994</v>
      </c>
      <c r="B24" s="5">
        <f>zeros!M34</f>
        <v>-9.4894672241499903E-2</v>
      </c>
      <c r="C24" s="5">
        <f>zeros!N34</f>
        <v>-0.12589999999999996</v>
      </c>
    </row>
    <row r="25" spans="1:3">
      <c r="A25" s="2">
        <v>1995</v>
      </c>
      <c r="B25" s="5">
        <f>zeros!M35</f>
        <v>0.27503892471199998</v>
      </c>
      <c r="C25" s="5">
        <f>zeros!N35</f>
        <v>0.26709999999999995</v>
      </c>
    </row>
    <row r="26" spans="1:3">
      <c r="A26" s="2">
        <v>1996</v>
      </c>
      <c r="B26" s="5">
        <f>zeros!M36</f>
        <v>-6.2494344062900354E-3</v>
      </c>
      <c r="C26" s="5">
        <f>zeros!N36</f>
        <v>4.0000000000000573E-3</v>
      </c>
    </row>
    <row r="27" spans="1:3">
      <c r="A27" s="2">
        <v>1997</v>
      </c>
      <c r="B27" s="5">
        <f>zeros!M37</f>
        <v>0.12634535799448998</v>
      </c>
      <c r="C27" s="5">
        <f>zeros!N37</f>
        <v>0.10710000000000001</v>
      </c>
    </row>
    <row r="28" spans="1:3">
      <c r="A28" s="2">
        <v>1998</v>
      </c>
      <c r="B28" s="5">
        <f>zeros!M38</f>
        <v>0.13436533626279995</v>
      </c>
      <c r="C28" s="5">
        <f>zeros!N38</f>
        <v>0.16249999999999992</v>
      </c>
    </row>
    <row r="29" spans="1:3">
      <c r="A29" s="2">
        <v>1999</v>
      </c>
      <c r="B29" s="5">
        <f>zeros!M39</f>
        <v>-9.8274321447640034E-2</v>
      </c>
      <c r="C29" s="5">
        <f>zeros!N39</f>
        <v>-0.10020000000000004</v>
      </c>
    </row>
    <row r="30" spans="1:3">
      <c r="A30" s="2">
        <v>2000</v>
      </c>
      <c r="B30" s="5">
        <f>zeros!M40</f>
        <v>0.19447117287620003</v>
      </c>
      <c r="C30" s="5">
        <f>zeros!N40</f>
        <v>0.15640000000000001</v>
      </c>
    </row>
    <row r="31" spans="1:3">
      <c r="A31" s="2">
        <v>2001</v>
      </c>
      <c r="B31" s="5">
        <f>zeros!M41</f>
        <v>4.96252076815E-2</v>
      </c>
      <c r="C31" s="5">
        <f>zeros!N41</f>
        <v>6.5900000000000042E-2</v>
      </c>
    </row>
    <row r="32" spans="1:3">
      <c r="A32" s="2">
        <v>2002</v>
      </c>
      <c r="B32" s="5">
        <f>zeros!M42</f>
        <v>0.18820700000000001</v>
      </c>
      <c r="C32" s="5">
        <f>zeros!N42</f>
        <v>0.14629999999999996</v>
      </c>
    </row>
    <row r="33" spans="1:3">
      <c r="A33" s="2">
        <v>2003</v>
      </c>
      <c r="B33" s="5">
        <f>zeros!M43</f>
        <v>3.2533000000000027E-2</v>
      </c>
      <c r="C33" s="5">
        <f>zeros!N43</f>
        <v>1.8700000000000116E-2</v>
      </c>
    </row>
    <row r="34" spans="1:3">
      <c r="A34" s="2">
        <v>2004</v>
      </c>
      <c r="B34" s="5">
        <f>zeros!M44</f>
        <v>7.1194000000000063E-2</v>
      </c>
      <c r="C34" s="5">
        <f>zeros!N44</f>
        <v>4.6299999999999883E-2</v>
      </c>
    </row>
    <row r="35" spans="1:3">
      <c r="A35" s="2">
        <v>2005</v>
      </c>
      <c r="B35" s="5">
        <f>zeros!M45</f>
        <v>4.4664000000000002E-2</v>
      </c>
      <c r="C35" s="5">
        <f>zeros!N45</f>
        <v>2.0700000000000076E-2</v>
      </c>
    </row>
    <row r="36" spans="1:3">
      <c r="A36" s="2">
        <v>2006</v>
      </c>
      <c r="B36" s="5">
        <f>zeros!M46</f>
        <v>2.0716000000000036E-2</v>
      </c>
      <c r="C36" s="5">
        <f>zeros!N46</f>
        <v>3.6599999999999966E-2</v>
      </c>
    </row>
    <row r="37" spans="1:3">
      <c r="A37" s="2">
        <v>2007</v>
      </c>
      <c r="B37" s="5">
        <f>zeros!M47</f>
        <v>9.9643999999999983E-2</v>
      </c>
      <c r="C37" s="5">
        <f>zeros!N47</f>
        <v>8.6999999999999952E-2</v>
      </c>
    </row>
    <row r="38" spans="1:3">
      <c r="A38" s="2">
        <v>2008</v>
      </c>
      <c r="B38" s="5">
        <f>zeros!M48</f>
        <v>0.18616600545883205</v>
      </c>
      <c r="C38" s="5">
        <f>zeros!N48</f>
        <v>0.19219999999999998</v>
      </c>
    </row>
    <row r="39" spans="1:3">
      <c r="A39" s="2">
        <v>2009</v>
      </c>
      <c r="B39" s="5">
        <f>zeros!M49</f>
        <v>-7.0074000358581509E-2</v>
      </c>
      <c r="C39" s="5">
        <f>zeros!N49</f>
        <v>-8.1100000000000033E-2</v>
      </c>
    </row>
    <row r="40" spans="1:3">
      <c r="A40" s="2">
        <v>2010</v>
      </c>
      <c r="B40" s="5">
        <f>zeros!M50</f>
        <v>0.11872902870178237</v>
      </c>
      <c r="C40" s="5">
        <f>zeros!N50</f>
        <v>6.2899999999999998E-2</v>
      </c>
    </row>
    <row r="41" spans="1:3">
      <c r="A41" s="2">
        <v>2011</v>
      </c>
      <c r="B41" s="5">
        <f>zeros!M51</f>
        <v>0.19281299948692301</v>
      </c>
      <c r="C41" s="5">
        <f>zeros!N51</f>
        <v>0.15079999999999999</v>
      </c>
    </row>
    <row r="42" spans="1:3">
      <c r="A42" s="2">
        <v>2012</v>
      </c>
      <c r="B42" s="5">
        <f>zeros!M52</f>
        <v>5.2783005237578888E-2</v>
      </c>
      <c r="C42" s="5">
        <f>zeros!N52</f>
        <v>4.3200000000000002E-2</v>
      </c>
    </row>
    <row r="43" spans="1:3">
      <c r="A43" s="2">
        <v>2013</v>
      </c>
      <c r="B43" s="5">
        <f>zeros!M53</f>
        <v>-9.0330996513366596E-2</v>
      </c>
      <c r="C43" s="5">
        <f>zeros!N53</f>
        <v>-8.8999999999999982E-2</v>
      </c>
    </row>
    <row r="44" spans="1:3">
      <c r="A44" s="2">
        <v>2014</v>
      </c>
      <c r="B44" s="5">
        <f>zeros!M54</f>
        <v>0.12481500148773129</v>
      </c>
      <c r="C44" s="5">
        <f>zeros!N54</f>
        <v>9.11E-2</v>
      </c>
    </row>
    <row r="45" spans="1:3">
      <c r="A45" s="2">
        <v>2015</v>
      </c>
      <c r="B45" s="5">
        <f>zeros!M55</f>
        <v>1.7140002250670711E-2</v>
      </c>
      <c r="C45" s="5">
        <f>zeros!N55</f>
        <v>1.9399999999999976E-2</v>
      </c>
    </row>
    <row r="46" spans="1:3">
      <c r="A46" s="2">
        <v>2016</v>
      </c>
      <c r="B46" s="5">
        <f>zeros!M56</f>
        <v>1.4730012416839956E-2</v>
      </c>
      <c r="C46" s="5">
        <f>zeros!N56</f>
        <v>-1.0000000000001563E-4</v>
      </c>
    </row>
    <row r="47" spans="1:3">
      <c r="A47" s="2">
        <v>2017</v>
      </c>
      <c r="B47" s="5">
        <f>zeros!M57</f>
        <v>3.85520052909855E-2</v>
      </c>
      <c r="C47" s="5">
        <f>zeros!N57</f>
        <v>3.3000000000000043E-2</v>
      </c>
    </row>
    <row r="48" spans="1:3">
      <c r="A48" s="2">
        <v>2018</v>
      </c>
      <c r="B48" s="5">
        <f>zeros!M58</f>
        <v>3.3589863777168105E-3</v>
      </c>
      <c r="C48" s="5">
        <f>zeros!N58</f>
        <v>-1.4699999999999989E-2</v>
      </c>
    </row>
    <row r="49" spans="1:3">
      <c r="A49" s="2">
        <v>2019</v>
      </c>
      <c r="B49" s="5">
        <f>zeros!M59</f>
        <v>9.7605001926422519E-2</v>
      </c>
      <c r="C49" s="5">
        <f>zeros!N59</f>
        <v>0.11559999999999999</v>
      </c>
    </row>
    <row r="50" spans="1:3">
      <c r="A50" s="2">
        <v>2020</v>
      </c>
      <c r="B50" s="5">
        <f>zeros!M60</f>
        <v>0.120527998226166</v>
      </c>
      <c r="C50" s="5">
        <f>zeros!N60</f>
        <v>0.1023</v>
      </c>
    </row>
    <row r="51" spans="1:3">
      <c r="A51" s="2">
        <v>2021</v>
      </c>
      <c r="B51" s="5">
        <f>zeros!M61</f>
        <v>-4.5739999999999996E-2</v>
      </c>
      <c r="C51" s="5">
        <f>zeros!N61</f>
        <v>-3.9299999999999995E-2</v>
      </c>
    </row>
    <row r="52" spans="1:3">
      <c r="A52" s="2">
        <v>2022</v>
      </c>
      <c r="B52" s="5">
        <f>zeros!M62</f>
        <v>-0.188222</v>
      </c>
      <c r="C52" s="5">
        <f>zeros!N62</f>
        <v>-0.17879999999999999</v>
      </c>
    </row>
    <row r="53" spans="1:3">
      <c r="A53" s="2">
        <v>2023</v>
      </c>
      <c r="B53" s="5">
        <f>zeros!M63</f>
        <v>3.796099999999996E-2</v>
      </c>
      <c r="C53" s="5">
        <f>zeros!N63</f>
        <v>2.0000000000010233E-4</v>
      </c>
    </row>
    <row r="54" spans="1:3">
      <c r="A54" s="2">
        <v>2024</v>
      </c>
      <c r="B54" s="5">
        <f>zeros!M64</f>
        <v>-1.8282000000000024E-2</v>
      </c>
      <c r="C54" s="5">
        <f>zeros!N64</f>
        <v>6.8999999999999773E-3</v>
      </c>
    </row>
    <row r="55" spans="1:3">
      <c r="A55" s="2">
        <v>2025</v>
      </c>
      <c r="B55" s="5">
        <f>zeros!M65</f>
        <v>8.5199999999999956E-2</v>
      </c>
      <c r="C55" s="5">
        <f>zeros!N65</f>
        <v>6.6400000000000001E-2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C8C3-A8F6-415C-AA3C-D6814AB2CE80}">
  <dimension ref="A1:A10"/>
  <sheetViews>
    <sheetView tabSelected="1" workbookViewId="0">
      <selection activeCell="A10" sqref="A10"/>
    </sheetView>
  </sheetViews>
  <sheetFormatPr defaultRowHeight="20.25"/>
  <cols>
    <col min="1" max="16384" width="9" style="6"/>
  </cols>
  <sheetData>
    <row r="1" spans="1:1">
      <c r="A1" s="6" t="s">
        <v>16</v>
      </c>
    </row>
    <row r="2" spans="1:1">
      <c r="A2" s="6" t="s">
        <v>19</v>
      </c>
    </row>
    <row r="3" spans="1:1">
      <c r="A3" s="6" t="s">
        <v>17</v>
      </c>
    </row>
    <row r="4" spans="1:1">
      <c r="A4" s="6" t="s">
        <v>18</v>
      </c>
    </row>
    <row r="5" spans="1:1">
      <c r="A5" s="6" t="s">
        <v>20</v>
      </c>
    </row>
    <row r="6" spans="1:1">
      <c r="A6" s="6" t="s">
        <v>21</v>
      </c>
    </row>
    <row r="7" spans="1:1">
      <c r="A7" s="6" t="s">
        <v>22</v>
      </c>
    </row>
    <row r="8" spans="1:1">
      <c r="A8" s="6" t="s">
        <v>23</v>
      </c>
    </row>
    <row r="9" spans="1:1">
      <c r="A9" s="6" t="s">
        <v>25</v>
      </c>
    </row>
    <row r="10" spans="1:1">
      <c r="A10" s="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zeros</vt:lpstr>
      <vt:lpstr>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2026-08-29T21:15:00Z</dcterms:created>
  <dcterms:modified xsi:type="dcterms:W3CDTF">2026-09-02T02:38:17Z</dcterms:modified>
</cp:coreProperties>
</file>